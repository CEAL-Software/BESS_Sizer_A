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Hourly Data" sheetId="2" state="visible" r:id="rId4"/>
    <sheet name="Monthly Billing" sheetId="3" state="visible" r:id="rId5"/>
    <sheet name="Tool Inputs" sheetId="4" state="visible" r:id="rId6"/>
    <sheet name="Instruc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<sst xmlns="http://schemas.openxmlformats.org/spreadsheetml/2006/main" count="720" uniqueCount="231">
  <si>
    <t xml:space="preserve">BESS SIZING CHALLENGE — SAMPLE DATASET</t>
  </si>
  <si>
    <t xml:space="preserve">Mavuno Foods Ltd | Nairobi Industrial Area, Kenya</t>
  </si>
  <si>
    <t xml:space="preserve">COMPANY PROFILE</t>
  </si>
  <si>
    <t xml:space="preserve">Company</t>
  </si>
  <si>
    <t xml:space="preserve">Mavuno Foods Ltd</t>
  </si>
  <si>
    <t xml:space="preserve">Registered food processor, Nairobi Industrial Area</t>
  </si>
  <si>
    <t xml:space="preserve">Sector</t>
  </si>
  <si>
    <t xml:space="preserve">Food &amp; Beverage Manufacturing</t>
  </si>
  <si>
    <t xml:space="preserve">Grain milling, packaging, cold storage</t>
  </si>
  <si>
    <t xml:space="preserve">Operating hours</t>
  </si>
  <si>
    <t xml:space="preserve">05:00 – 22:00</t>
  </si>
  <si>
    <t xml:space="preserve">hrs</t>
  </si>
  <si>
    <t xml:space="preserve">Mon–Sat; reduced Sunday (06:00–14:00)</t>
  </si>
  <si>
    <t xml:space="preserve">Grid connection</t>
  </si>
  <si>
    <t xml:space="preserve">33 kV / 415 V</t>
  </si>
  <si>
    <t xml:space="preserve">KPLC metered supply, SC5 tariff category</t>
  </si>
  <si>
    <t xml:space="preserve">Installed PV</t>
  </si>
  <si>
    <t xml:space="preserve">kWp</t>
  </si>
  <si>
    <t xml:space="preserve">Rooftop mono-PERC, installed Nov 2022, south-facing 15° tilt</t>
  </si>
  <si>
    <t xml:space="preserve">PV inverter</t>
  </si>
  <si>
    <t xml:space="preserve">SMA Sunny Tripower</t>
  </si>
  <si>
    <t xml:space="preserve">4 × 50 kW string inverters, no battery storage currently</t>
  </si>
  <si>
    <t xml:space="preserve">Grid reliability</t>
  </si>
  <si>
    <t xml:space="preserve">~72 hrs/month outages</t>
  </si>
  <si>
    <t xml:space="preserve">Frequent load-shedding; diesel genset 150 kVA backup</t>
  </si>
  <si>
    <t xml:space="preserve">Diesel cost</t>
  </si>
  <si>
    <t xml:space="preserve">KES/litre</t>
  </si>
  <si>
    <t xml:space="preserve">Current pump price; ~80 L/hr consumption under full load</t>
  </si>
  <si>
    <t xml:space="preserve">TARIFF STRUCTURE — KPLC SC5 (Large Commercial / Industrial)</t>
  </si>
  <si>
    <t xml:space="preserve">Energy charge — peak</t>
  </si>
  <si>
    <t xml:space="preserve">KES/kWh</t>
  </si>
  <si>
    <t xml:space="preserve">06:00–22:00 (16 hrs/day)</t>
  </si>
  <si>
    <t xml:space="preserve">Energy charge — off-peak</t>
  </si>
  <si>
    <t xml:space="preserve">22:00–06:00 (8 hrs/day)</t>
  </si>
  <si>
    <t xml:space="preserve">Fuel cost adjustment (ERC)</t>
  </si>
  <si>
    <t xml:space="preserve">Applied uniformly, reviewed quarterly</t>
  </si>
  <si>
    <t xml:space="preserve">ERC levy</t>
  </si>
  <si>
    <t xml:space="preserve">Energy Regulatory Commission</t>
  </si>
  <si>
    <t xml:space="preserve">Effective peak tariff (all-in)</t>
  </si>
  <si>
    <t xml:space="preserve">Sum of above during peak hours</t>
  </si>
  <si>
    <t xml:space="preserve">Demand charge</t>
  </si>
  <si>
    <t xml:space="preserve">KES/kVA/month</t>
  </si>
  <si>
    <t xml:space="preserve">Based on highest 30-min kVA in billing month</t>
  </si>
  <si>
    <t xml:space="preserve">Fixed charge (meter rent)</t>
  </si>
  <si>
    <t xml:space="preserve">KES/month</t>
  </si>
  <si>
    <t xml:space="preserve">Exchange rate reference</t>
  </si>
  <si>
    <t xml:space="preserve">KES/EUR</t>
  </si>
  <si>
    <t xml:space="preserve">For equipment cost benchmarking</t>
  </si>
  <si>
    <t xml:space="preserve">CHALLENGE BRIEF</t>
  </si>
  <si>
    <t xml:space="preserve">OBJECTIVE: Using the data provided in this workbook, design a BESS solution for Mavuno Foods Ltd that:
  1. Maximises self-consumption of PV generation (currently ~35% is exported to grid at minimal feed-in tariff)
  2. Performs peak shaving to reduce the monthly demand charge
  3. Provides backup autonomy of at least 2 hours for critical loads (~45 kW: cold storage + control systems)
  4. Achieves payback within 8 years at current tariff levels
DELIVERABLE: Build a tool (HTML/React/Python app) that takes the inputs from this dataset, calls an AI API,
and returns a recommended BESS power (kW), capacity (kWh), estimated annual savings, and payback period.
Bonus: show 3 scenarios (conservative / recommended / aggressive) and a daily charge-discharge strategy.</t>
  </si>
  <si>
    <t xml:space="preserve">Day</t>
  </si>
  <si>
    <t xml:space="preserve">Day Type</t>
  </si>
  <si>
    <t xml:space="preserve">Hour</t>
  </si>
  <si>
    <t xml:space="preserve">Time</t>
  </si>
  <si>
    <t xml:space="preserve">Load (kW)</t>
  </si>
  <si>
    <t xml:space="preserve">PV Gen (kW)</t>
  </si>
  <si>
    <t xml:space="preserve">Net Load (kW)</t>
  </si>
  <si>
    <t xml:space="preserve">Grid Import (kW)</t>
  </si>
  <si>
    <t xml:space="preserve">PV Surplus (kW)</t>
  </si>
  <si>
    <t xml:space="preserve">Notes</t>
  </si>
  <si>
    <t xml:space="preserve">Monday</t>
  </si>
  <si>
    <t xml:space="preserve">00:00</t>
  </si>
  <si>
    <t xml:space="preserve">Off-peak</t>
  </si>
  <si>
    <t xml:space="preserve">01:00</t>
  </si>
  <si>
    <t xml:space="preserve">02:00</t>
  </si>
  <si>
    <t xml:space="preserve">03:00</t>
  </si>
  <si>
    <t xml:space="preserve">04:00</t>
  </si>
  <si>
    <t xml:space="preserve">05:00</t>
  </si>
  <si>
    <t xml:space="preserve">06:00</t>
  </si>
  <si>
    <t xml:space="preserve">Peak</t>
  </si>
  <si>
    <t xml:space="preserve">07:00</t>
  </si>
  <si>
    <t xml:space="preserve">08:00</t>
  </si>
  <si>
    <t xml:space="preserve">09:00</t>
  </si>
  <si>
    <t xml:space="preserve">10:00</t>
  </si>
  <si>
    <t xml:space="preserve">Peak | PV surplus</t>
  </si>
  <si>
    <t xml:space="preserve">11:00</t>
  </si>
  <si>
    <t xml:space="preserve">12:00</t>
  </si>
  <si>
    <t xml:space="preserve">Peak | PV surplus | PV peak</t>
  </si>
  <si>
    <t xml:space="preserve">13:00</t>
  </si>
  <si>
    <t xml:space="preserve">14:00</t>
  </si>
  <si>
    <t xml:space="preserve">15:00</t>
  </si>
  <si>
    <t xml:space="preserve">16:00</t>
  </si>
  <si>
    <t xml:space="preserve">17:00</t>
  </si>
  <si>
    <t xml:space="preserve">18:00</t>
  </si>
  <si>
    <t xml:space="preserve">19:00</t>
  </si>
  <si>
    <t xml:space="preserve">20:00</t>
  </si>
  <si>
    <t xml:space="preserve">21:00</t>
  </si>
  <si>
    <t xml:space="preserve">22:00</t>
  </si>
  <si>
    <t xml:space="preserve">23:00</t>
  </si>
  <si>
    <t xml:space="preserve">Tuesday</t>
  </si>
  <si>
    <t xml:space="preserve">Wednesday</t>
  </si>
  <si>
    <t xml:space="preserve">Thursday</t>
  </si>
  <si>
    <t xml:space="preserve">Friday</t>
  </si>
  <si>
    <t xml:space="preserve">Saturday</t>
  </si>
  <si>
    <t xml:space="preserve">Sunday</t>
  </si>
  <si>
    <t xml:space="preserve">Month</t>
  </si>
  <si>
    <t xml:space="preserve">Days</t>
  </si>
  <si>
    <t xml:space="preserve">Total Cons (kWh)</t>
  </si>
  <si>
    <t xml:space="preserve">Peak kWh</t>
  </si>
  <si>
    <t xml:space="preserve">Off-peak kWh</t>
  </si>
  <si>
    <t xml:space="preserve">PV Gen (kWh)</t>
  </si>
  <si>
    <t xml:space="preserve">PV Self-use (kWh)</t>
  </si>
  <si>
    <t xml:space="preserve">Grid Import (kWh)</t>
  </si>
  <si>
    <t xml:space="preserve">Peak Demand (kVA)</t>
  </si>
  <si>
    <t xml:space="preserve">Energy Bill (KES)</t>
  </si>
  <si>
    <t xml:space="preserve">Demand Bill (KES)</t>
  </si>
  <si>
    <t xml:space="preserve">Fixed (KES)</t>
  </si>
  <si>
    <t xml:space="preserve">Diesel (KES)</t>
  </si>
  <si>
    <t xml:space="preserve">Total Bill (KES)</t>
  </si>
  <si>
    <t xml:space="preserve">Jan</t>
  </si>
  <si>
    <t xml:space="preserve">Dry season — high PV, stable grid</t>
  </si>
  <si>
    <t xml:space="preserve">Feb</t>
  </si>
  <si>
    <t xml:space="preserve">Dry season</t>
  </si>
  <si>
    <t xml:space="preserve">Mar</t>
  </si>
  <si>
    <t xml:space="preserve">Long rains begin — reduced PV</t>
  </si>
  <si>
    <t xml:space="preserve">Apr</t>
  </si>
  <si>
    <t xml:space="preserve">Long rains peak — frequent outages</t>
  </si>
  <si>
    <t xml:space="preserve">May</t>
  </si>
  <si>
    <t xml:space="preserve">Long rains easing</t>
  </si>
  <si>
    <t xml:space="preserve">Jun</t>
  </si>
  <si>
    <t xml:space="preserve">Cool dry season</t>
  </si>
  <si>
    <t xml:space="preserve">Jul</t>
  </si>
  <si>
    <t xml:space="preserve">Cool dry season — low temps, high cold storage load</t>
  </si>
  <si>
    <t xml:space="preserve">Aug</t>
  </si>
  <si>
    <t xml:space="preserve">Sep</t>
  </si>
  <si>
    <t xml:space="preserve">Dry — best PV month</t>
  </si>
  <si>
    <t xml:space="preserve">Oct</t>
  </si>
  <si>
    <t xml:space="preserve">Short rains — demand peaks, grid stress</t>
  </si>
  <si>
    <t xml:space="preserve">Nov</t>
  </si>
  <si>
    <t xml:space="preserve">Short rains peak</t>
  </si>
  <si>
    <t xml:space="preserve">Dec</t>
  </si>
  <si>
    <t xml:space="preserve">Short dry spell — pre-holiday slowdown</t>
  </si>
  <si>
    <t xml:space="preserve">TOTAL / AVG</t>
  </si>
  <si>
    <t xml:space="preserve">SUGGESTED TOOL INPUTS — extract these from the dataset above</t>
  </si>
  <si>
    <t xml:space="preserve">Load &amp; Tariff</t>
  </si>
  <si>
    <t xml:space="preserve">avg_monthly_consumption_kwh</t>
  </si>
  <si>
    <t xml:space="preserve">kWh</t>
  </si>
  <si>
    <t xml:space="preserve">Average monthly total consumption</t>
  </si>
  <si>
    <t xml:space="preserve">peak_consumption_share</t>
  </si>
  <si>
    <t xml:space="preserve">%</t>
  </si>
  <si>
    <t xml:space="preserve">Share of energy consumed during peak hours</t>
  </si>
  <si>
    <t xml:space="preserve">contracted_power_kva</t>
  </si>
  <si>
    <t xml:space="preserve">kVA</t>
  </si>
  <si>
    <t xml:space="preserve">Typical contracted capacity</t>
  </si>
  <si>
    <t xml:space="preserve">peak_demand_kva</t>
  </si>
  <si>
    <t xml:space="preserve">Average monthly peak demand</t>
  </si>
  <si>
    <t xml:space="preserve">tariff_peak_kesh_kwh</t>
  </si>
  <si>
    <t xml:space="preserve">KES</t>
  </si>
  <si>
    <t xml:space="preserve">All-in peak tariff incl. levies</t>
  </si>
  <si>
    <t xml:space="preserve">tariff_offpeak_kesh_kwh</t>
  </si>
  <si>
    <t xml:space="preserve">All-in off-peak tariff incl. levies</t>
  </si>
  <si>
    <t xml:space="preserve">demand_charge_kesh_kva</t>
  </si>
  <si>
    <t xml:space="preserve">Monthly demand charge per kVA</t>
  </si>
  <si>
    <t xml:space="preserve">peak_hours_per_day</t>
  </si>
  <si>
    <t xml:space="preserve">06:00–22:00</t>
  </si>
  <si>
    <t xml:space="preserve">PV System</t>
  </si>
  <si>
    <t xml:space="preserve">pv_installed_kwp</t>
  </si>
  <si>
    <t xml:space="preserve">Rooftop monocrystalline PERC</t>
  </si>
  <si>
    <t xml:space="preserve">avg_daily_pv_generation_kwh</t>
  </si>
  <si>
    <t xml:space="preserve">Annual average (185 kWh dry / 165 kWh rainy)</t>
  </si>
  <si>
    <t xml:space="preserve">pv_self_consumption_rate</t>
  </si>
  <si>
    <t xml:space="preserve">Currently ~65% self-consumed, ~35% exported</t>
  </si>
  <si>
    <t xml:space="preserve">avg_daily_surplus_kwh</t>
  </si>
  <si>
    <t xml:space="preserve">PV generation not consumed by load</t>
  </si>
  <si>
    <t xml:space="preserve">feed_in_tariff_kesh</t>
  </si>
  <si>
    <t xml:space="preserve">Approximate feed-in rate — very low incentive</t>
  </si>
  <si>
    <t xml:space="preserve">Project Constraints &amp; Objectives</t>
  </si>
  <si>
    <t xml:space="preserve">backup_critical_load_kw</t>
  </si>
  <si>
    <t xml:space="preserve">kW</t>
  </si>
  <si>
    <t xml:space="preserve">Cold storage + control systems (always on)</t>
  </si>
  <si>
    <t xml:space="preserve">backup_autonomy_target_hrs</t>
  </si>
  <si>
    <t xml:space="preserve">Minimum backup during grid outages</t>
  </si>
  <si>
    <t xml:space="preserve">max_payback_years</t>
  </si>
  <si>
    <t xml:space="preserve">years</t>
  </si>
  <si>
    <t xml:space="preserve">Client's maximum acceptable payback</t>
  </si>
  <si>
    <t xml:space="preserve">bess_cost_reference_eur_kwh</t>
  </si>
  <si>
    <t xml:space="preserve">EUR</t>
  </si>
  <si>
    <t xml:space="preserve">Approximate LFP BESS installed cost/kWh</t>
  </si>
  <si>
    <t xml:space="preserve">exchange_rate_kes_eur</t>
  </si>
  <si>
    <t xml:space="preserve">KES per EUR for cost conversion</t>
  </si>
  <si>
    <t xml:space="preserve">project_lifetime_years</t>
  </si>
  <si>
    <t xml:space="preserve">Standard BESS warranty horizon</t>
  </si>
  <si>
    <t xml:space="preserve">annual_tariff_escalation</t>
  </si>
  <si>
    <t xml:space="preserve">Historical KPLC annual tariff increase ~6%</t>
  </si>
  <si>
    <t xml:space="preserve">CHALLENGE INSTRUCTIONS — BESS Sizing Tool</t>
  </si>
  <si>
    <t xml:space="preserve">THE SCENARIO</t>
  </si>
  <si>
    <t xml:space="preserve">Mavuno Foods Ltd is a food processing company in Nairobi's Industrial Area. They have a 200 kWp solar PV system on their roof,
but ~35% of the solar energy is wasted because it can't be consumed in real time. They also face high electricity bills
due to peak tariffs and demand charges, plus frequent grid outages that force them to run a diesel generator.
Your task: design a BESS solution that solves all three problems simultaneously.</t>
  </si>
  <si>
    <t xml:space="preserve">LEVEL 1 — BASIC TOOL</t>
  </si>
  <si>
    <t xml:space="preserve">Step 1</t>
  </si>
  <si>
    <t xml:space="preserve">Open the 'Tool Inputs' sheet. These are the pre-processed key numbers extracted from the dataset.</t>
  </si>
  <si>
    <t xml:space="preserve">Step 2</t>
  </si>
  <si>
    <t xml:space="preserve">Build a web tool (HTML/React/Python) with input fields pre-filled with these values.</t>
  </si>
  <si>
    <t xml:space="preserve">Step 3</t>
  </si>
  <si>
    <t xml:space="preserve">When the user clicks 'Analyze', send the inputs to the Claude API with a well-crafted prompt.</t>
  </si>
  <si>
    <t xml:space="preserve">Step 4</t>
  </si>
  <si>
    <t xml:space="preserve">Display the AI response as structured output: recommended kW, kWh, annual savings (KES), payback (years).</t>
  </si>
  <si>
    <t xml:space="preserve">LEVEL 2 — ADVANCED TOOL (BONUS)</t>
  </si>
  <si>
    <t xml:space="preserve">Step 5</t>
  </si>
  <si>
    <t xml:space="preserve">Load and parse the 'Hourly Data' sheet (168 rows = 7 days × 24 hours).</t>
  </si>
  <si>
    <t xml:space="preserve">Step 6</t>
  </si>
  <si>
    <t xml:space="preserve">Plot the load curve vs PV generation curve to visually identify surplus windows and peak demand periods.</t>
  </si>
  <si>
    <t xml:space="preserve">Step 7</t>
  </si>
  <si>
    <t xml:space="preserve">Calculate automatically: daily average surplus, peak demand hours, optimal charge/discharge windows.</t>
  </si>
  <si>
    <t xml:space="preserve">Step 8</t>
  </si>
  <si>
    <t xml:space="preserve">Feed both the calculated stats AND a summary of the raw profile to the AI for a richer recommendation.</t>
  </si>
  <si>
    <t xml:space="preserve">Step 9</t>
  </si>
  <si>
    <t xml:space="preserve">Show 3 BESS scenarios: Conservative (backup focus) / Recommended (balanced) / Aggressive (max savings).</t>
  </si>
  <si>
    <t xml:space="preserve">TIPS FOR YOUR AI PROMPT</t>
  </si>
  <si>
    <t xml:space="preserve">Tip 1</t>
  </si>
  <si>
    <t xml:space="preserve">Be explicit about units — the AI must distinguish kW (power) from kWh (energy).</t>
  </si>
  <si>
    <t xml:space="preserve">Tip 2</t>
  </si>
  <si>
    <t xml:space="preserve">Include the tariff structure — the arbitrage opportunity between peak (25 KES) and off-peak (13.7 KES) is huge.</t>
  </si>
  <si>
    <t xml:space="preserve">Tip 3</t>
  </si>
  <si>
    <t xml:space="preserve">Mention the backup requirement explicitly (45 kW critical load, 2 hrs minimum).</t>
  </si>
  <si>
    <t xml:space="preserve">Tip 4</t>
  </si>
  <si>
    <t xml:space="preserve">Ask for reasoning, not just numbers — 'explain why you chose this capacity'.</t>
  </si>
  <si>
    <t xml:space="preserve">Tip 5</t>
  </si>
  <si>
    <t xml:space="preserve">Request JSON output for easy parsing, then render it nicely in your UI.</t>
  </si>
  <si>
    <t xml:space="preserve">Tip 6</t>
  </si>
  <si>
    <t xml:space="preserve">Consider adding: 'Assume LFP chemistry, 90% round-trip efficiency, 80% usable DoD, 6000 cycle lifetime'.</t>
  </si>
  <si>
    <t xml:space="preserve">KEY NUMBERS TO KNOW</t>
  </si>
  <si>
    <t xml:space="preserve">Daily PV surplus</t>
  </si>
  <si>
    <t xml:space="preserve">~70 kWh/day average (more in dry season, less during rains)</t>
  </si>
  <si>
    <t xml:space="preserve">Peak demand to shave</t>
  </si>
  <si>
    <t xml:space="preserve">~100 kVA — even a 10% reduction saves ~85,000 KES/year in demand charges</t>
  </si>
  <si>
    <t xml:space="preserve">Diesel cost context</t>
  </si>
  <si>
    <t xml:space="preserve">~72 hrs/month × 80 L/hr × 145 KES/L = ~835,000 KES/year in diesel alone</t>
  </si>
  <si>
    <t xml:space="preserve">Tariff spread</t>
  </si>
  <si>
    <t xml:space="preserve">25.0 vs 13.7 KES/kWh = 11.3 KES/kWh arbitrage opportunity during off-peak charging</t>
  </si>
  <si>
    <t xml:space="preserve">EXPECTED OUTPUT RANGE</t>
  </si>
  <si>
    <t xml:space="preserve">Payback should land in the 5–9 year range depending on how you weight diesel savings.</t>
  </si>
</sst>
</file>

<file path=xl/styles.xml><?xml version="1.0" encoding="utf-8"?>
<styleSheet xmlns="http://schemas.openxmlformats.org/spreadsheetml/2006/main">
  <numFmts count="4">
    <numFmt numFmtId="164" formatCode="General"/>
    <numFmt numFmtId="165" formatCode="0.0"/>
    <numFmt numFmtId="166" formatCode="General"/>
    <numFmt numFmtId="167" formatCode="#,##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BDD7EE"/>
      <name val="Arial"/>
      <family val="0"/>
      <charset val="1"/>
    </font>
    <font>
      <b val="true"/>
      <sz val="10"/>
      <color rgb="FFFFFFFF"/>
      <name val="Arial"/>
      <family val="0"/>
      <charset val="1"/>
    </font>
    <font>
      <b val="true"/>
      <sz val="10"/>
      <color rgb="FF000000"/>
      <name val="Arial"/>
      <family val="0"/>
      <charset val="1"/>
    </font>
    <font>
      <sz val="10"/>
      <color rgb="FF1F4E79"/>
      <name val="Arial"/>
      <family val="0"/>
      <charset val="1"/>
    </font>
    <font>
      <i val="true"/>
      <sz val="9"/>
      <color rgb="FF595959"/>
      <name val="Arial"/>
      <family val="0"/>
      <charset val="1"/>
    </font>
    <font>
      <sz val="10"/>
      <color rgb="FF595959"/>
      <name val="Arial"/>
      <family val="0"/>
      <charset val="1"/>
    </font>
    <font>
      <sz val="9"/>
      <color rgb="FF000000"/>
      <name val="Arial"/>
      <family val="0"/>
      <charset val="1"/>
    </font>
    <font>
      <sz val="9"/>
      <color rgb="FF595959"/>
      <name val="Arial"/>
      <family val="0"/>
      <charset val="1"/>
    </font>
    <font>
      <sz val="9"/>
      <color rgb="FF375623"/>
      <name val="Arial"/>
      <family val="0"/>
      <charset val="1"/>
    </font>
    <font>
      <b val="true"/>
      <sz val="9"/>
      <color rgb="FFFFFFFF"/>
      <name val="Arial"/>
      <family val="0"/>
      <charset val="1"/>
    </font>
    <font>
      <b val="true"/>
      <sz val="9"/>
      <name val="Arial"/>
      <family val="0"/>
      <charset val="1"/>
    </font>
    <font>
      <b val="true"/>
      <sz val="9"/>
      <color rgb="FF1F4E79"/>
      <name val="Arial"/>
      <family val="0"/>
      <charset val="1"/>
    </font>
    <font>
      <b val="true"/>
      <sz val="9"/>
      <color rgb="FF000000"/>
      <name val="Arial"/>
      <family val="0"/>
      <charset val="1"/>
    </font>
    <font>
      <b val="true"/>
      <sz val="9"/>
      <color rgb="FF375623"/>
      <name val="Arial"/>
      <family val="0"/>
      <charset val="1"/>
    </font>
    <font>
      <b val="true"/>
      <sz val="9"/>
      <color rgb="FF833C00"/>
      <name val="Arial"/>
      <family val="0"/>
      <charset val="1"/>
    </font>
    <font>
      <b val="true"/>
      <sz val="13"/>
      <color rgb="FFFFFFFF"/>
      <name val="Arial"/>
      <family val="0"/>
      <charset val="1"/>
    </font>
    <font>
      <sz val="9"/>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2F2F2"/>
        <bgColor rgb="FFEBF3FB"/>
      </patternFill>
    </fill>
    <fill>
      <patternFill patternType="solid">
        <fgColor rgb="FFFFFFFF"/>
        <bgColor rgb="FFF2F2F2"/>
      </patternFill>
    </fill>
    <fill>
      <patternFill patternType="solid">
        <fgColor rgb="FFEBF3FB"/>
        <bgColor rgb="FFF2F2F2"/>
      </patternFill>
    </fill>
    <fill>
      <patternFill patternType="solid">
        <fgColor rgb="FFBDD7EE"/>
        <bgColor rgb="FF99CCFF"/>
      </patternFill>
    </fill>
    <fill>
      <patternFill patternType="solid">
        <fgColor rgb="FFFFF2CC"/>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5" borderId="1" xfId="0" applyFont="true" applyBorder="true" applyAlignment="true" applyProtection="false">
      <alignment horizontal="right" vertical="center"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right" vertical="center" textRotation="0" wrapText="false" indent="0" shrinkToFit="false"/>
      <protection locked="true" hidden="false"/>
    </xf>
    <xf numFmtId="166" fontId="11" fillId="5"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right" vertical="center" textRotation="0" wrapText="false" indent="0" shrinkToFit="false"/>
      <protection locked="true" hidden="false"/>
    </xf>
    <xf numFmtId="164" fontId="12" fillId="4" borderId="1" xfId="0" applyFont="true" applyBorder="true" applyAlignment="true" applyProtection="false">
      <alignment horizontal="right" vertical="center" textRotation="0" wrapText="false" indent="0" shrinkToFit="false"/>
      <protection locked="true" hidden="false"/>
    </xf>
    <xf numFmtId="166" fontId="11" fillId="4" borderId="1" xfId="0" applyFont="true" applyBorder="true" applyAlignment="true" applyProtection="false">
      <alignment horizontal="right" vertical="center" textRotation="0" wrapText="false" indent="0" shrinkToFit="false"/>
      <protection locked="true" hidden="false"/>
    </xf>
    <xf numFmtId="164" fontId="13" fillId="4" borderId="1" xfId="0" applyFont="true" applyBorder="true" applyAlignment="true" applyProtection="false">
      <alignment horizontal="right"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false" indent="1" shrinkToFit="false"/>
      <protection locked="true" hidden="false"/>
    </xf>
    <xf numFmtId="167" fontId="11" fillId="5"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1" shrinkToFit="false"/>
      <protection locked="true" hidden="false"/>
    </xf>
    <xf numFmtId="167" fontId="11" fillId="4" borderId="1" xfId="0" applyFont="true" applyBorder="true" applyAlignment="true" applyProtection="false">
      <alignment horizontal="right" vertical="center" textRotation="0" wrapText="false" indent="0" shrinkToFit="false"/>
      <protection locked="true" hidden="false"/>
    </xf>
    <xf numFmtId="164" fontId="15" fillId="7" borderId="1" xfId="0" applyFont="true" applyBorder="true" applyAlignment="true" applyProtection="false">
      <alignment horizontal="right" vertical="center" textRotation="0" wrapText="false" indent="0" shrinkToFit="false"/>
      <protection locked="true" hidden="false"/>
    </xf>
    <xf numFmtId="167" fontId="15" fillId="7" borderId="1" xfId="0" applyFont="true" applyBorder="true" applyAlignment="true" applyProtection="false">
      <alignment horizontal="right" vertical="center" textRotation="0" wrapText="fals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18" fillId="4" borderId="1" xfId="0" applyFont="true" applyBorder="true" applyAlignment="false" applyProtection="false">
      <alignment horizontal="general" vertical="bottom" textRotation="0" wrapText="false" indent="0" shrinkToFit="false"/>
      <protection locked="true" hidden="false"/>
    </xf>
    <xf numFmtId="164" fontId="15" fillId="8" borderId="1" xfId="0" applyFont="true" applyBorder="tru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true" applyProtection="false">
      <alignment horizontal="left" vertical="center" textRotation="0" wrapText="false" indent="1"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1" shrinkToFit="false"/>
      <protection locked="true" hidden="false"/>
    </xf>
    <xf numFmtId="164" fontId="21" fillId="0" borderId="2"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833C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7" min="6" style="0" width="12"/>
    <col collapsed="false" customWidth="true" hidden="false" outlineLevel="0" max="8" min="8" style="0" width="20"/>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15" hidden="false" customHeight="true" outlineLevel="0" collapsed="false">
      <c r="A5" s="4" t="s">
        <v>3</v>
      </c>
      <c r="B5" s="5" t="s">
        <v>4</v>
      </c>
      <c r="D5" s="6" t="s">
        <v>5</v>
      </c>
      <c r="E5" s="6"/>
      <c r="F5" s="6"/>
      <c r="G5" s="6"/>
      <c r="H5" s="6"/>
    </row>
    <row r="6" customFormat="false" ht="15" hidden="false" customHeight="true" outlineLevel="0" collapsed="false">
      <c r="A6" s="4" t="s">
        <v>6</v>
      </c>
      <c r="B6" s="5" t="s">
        <v>7</v>
      </c>
      <c r="D6" s="6" t="s">
        <v>8</v>
      </c>
      <c r="E6" s="6"/>
      <c r="F6" s="6"/>
      <c r="G6" s="6"/>
      <c r="H6" s="6"/>
    </row>
    <row r="7" customFormat="false" ht="15" hidden="false" customHeight="true" outlineLevel="0" collapsed="false">
      <c r="A7" s="4" t="s">
        <v>9</v>
      </c>
      <c r="B7" s="5" t="s">
        <v>10</v>
      </c>
      <c r="C7" s="7" t="s">
        <v>11</v>
      </c>
      <c r="D7" s="6" t="s">
        <v>12</v>
      </c>
      <c r="E7" s="6"/>
      <c r="F7" s="6"/>
      <c r="G7" s="6"/>
      <c r="H7" s="6"/>
    </row>
    <row r="8" customFormat="false" ht="15" hidden="false" customHeight="true" outlineLevel="0" collapsed="false">
      <c r="A8" s="4" t="s">
        <v>13</v>
      </c>
      <c r="B8" s="5" t="s">
        <v>14</v>
      </c>
      <c r="D8" s="6" t="s">
        <v>15</v>
      </c>
      <c r="E8" s="6"/>
      <c r="F8" s="6"/>
      <c r="G8" s="6"/>
      <c r="H8" s="6"/>
    </row>
    <row r="9" customFormat="false" ht="15" hidden="false" customHeight="true" outlineLevel="0" collapsed="false">
      <c r="A9" s="4" t="s">
        <v>16</v>
      </c>
      <c r="B9" s="5" t="n">
        <v>200</v>
      </c>
      <c r="C9" s="7" t="s">
        <v>17</v>
      </c>
      <c r="D9" s="6" t="s">
        <v>18</v>
      </c>
      <c r="E9" s="6"/>
      <c r="F9" s="6"/>
      <c r="G9" s="6"/>
      <c r="H9" s="6"/>
    </row>
    <row r="10" customFormat="false" ht="15" hidden="false" customHeight="true" outlineLevel="0" collapsed="false">
      <c r="A10" s="4" t="s">
        <v>19</v>
      </c>
      <c r="B10" s="5" t="s">
        <v>20</v>
      </c>
      <c r="D10" s="6" t="s">
        <v>21</v>
      </c>
      <c r="E10" s="6"/>
      <c r="F10" s="6"/>
      <c r="G10" s="6"/>
      <c r="H10" s="6"/>
    </row>
    <row r="11" customFormat="false" ht="15" hidden="false" customHeight="true" outlineLevel="0" collapsed="false">
      <c r="A11" s="4" t="s">
        <v>22</v>
      </c>
      <c r="B11" s="5" t="s">
        <v>23</v>
      </c>
      <c r="D11" s="6" t="s">
        <v>24</v>
      </c>
      <c r="E11" s="6"/>
      <c r="F11" s="6"/>
      <c r="G11" s="6"/>
      <c r="H11" s="6"/>
    </row>
    <row r="12" customFormat="false" ht="15" hidden="false" customHeight="true" outlineLevel="0" collapsed="false">
      <c r="A12" s="4" t="s">
        <v>25</v>
      </c>
      <c r="B12" s="5" t="n">
        <v>145</v>
      </c>
      <c r="C12" s="7" t="s">
        <v>26</v>
      </c>
      <c r="D12" s="6" t="s">
        <v>27</v>
      </c>
      <c r="E12" s="6"/>
      <c r="F12" s="6"/>
      <c r="G12" s="6"/>
      <c r="H12" s="6"/>
    </row>
    <row r="14" customFormat="false" ht="15.75" hidden="false" customHeight="true" outlineLevel="0" collapsed="false">
      <c r="A14" s="3" t="s">
        <v>28</v>
      </c>
      <c r="B14" s="3"/>
      <c r="C14" s="3"/>
      <c r="D14" s="3"/>
      <c r="E14" s="3"/>
      <c r="F14" s="3"/>
      <c r="G14" s="3"/>
      <c r="H14" s="3"/>
    </row>
    <row r="15" customFormat="false" ht="15" hidden="false" customHeight="true" outlineLevel="0" collapsed="false">
      <c r="A15" s="4" t="s">
        <v>29</v>
      </c>
      <c r="B15" s="5" t="n">
        <v>21.5</v>
      </c>
      <c r="C15" s="7" t="s">
        <v>30</v>
      </c>
      <c r="D15" s="6" t="s">
        <v>31</v>
      </c>
      <c r="E15" s="6"/>
      <c r="F15" s="6"/>
      <c r="G15" s="6"/>
      <c r="H15" s="6"/>
    </row>
    <row r="16" customFormat="false" ht="15" hidden="false" customHeight="true" outlineLevel="0" collapsed="false">
      <c r="A16" s="4" t="s">
        <v>32</v>
      </c>
      <c r="B16" s="5" t="n">
        <v>10.2</v>
      </c>
      <c r="C16" s="7" t="s">
        <v>30</v>
      </c>
      <c r="D16" s="6" t="s">
        <v>33</v>
      </c>
      <c r="E16" s="6"/>
      <c r="F16" s="6"/>
      <c r="G16" s="6"/>
      <c r="H16" s="6"/>
    </row>
    <row r="17" customFormat="false" ht="15" hidden="false" customHeight="true" outlineLevel="0" collapsed="false">
      <c r="A17" s="4" t="s">
        <v>34</v>
      </c>
      <c r="B17" s="5" t="n">
        <v>3.2</v>
      </c>
      <c r="C17" s="7" t="s">
        <v>30</v>
      </c>
      <c r="D17" s="6" t="s">
        <v>35</v>
      </c>
      <c r="E17" s="6"/>
      <c r="F17" s="6"/>
      <c r="G17" s="6"/>
      <c r="H17" s="6"/>
    </row>
    <row r="18" customFormat="false" ht="15" hidden="false" customHeight="true" outlineLevel="0" collapsed="false">
      <c r="A18" s="4" t="s">
        <v>36</v>
      </c>
      <c r="B18" s="5" t="n">
        <v>0.3</v>
      </c>
      <c r="C18" s="7" t="s">
        <v>30</v>
      </c>
      <c r="D18" s="6" t="s">
        <v>37</v>
      </c>
      <c r="E18" s="6"/>
      <c r="F18" s="6"/>
      <c r="G18" s="6"/>
      <c r="H18" s="6"/>
    </row>
    <row r="19" customFormat="false" ht="15" hidden="false" customHeight="true" outlineLevel="0" collapsed="false">
      <c r="A19" s="4" t="s">
        <v>38</v>
      </c>
      <c r="B19" s="5" t="n">
        <v>25</v>
      </c>
      <c r="C19" s="7" t="s">
        <v>30</v>
      </c>
      <c r="D19" s="6" t="s">
        <v>39</v>
      </c>
      <c r="E19" s="6"/>
      <c r="F19" s="6"/>
      <c r="G19" s="6"/>
      <c r="H19" s="6"/>
    </row>
    <row r="20" customFormat="false" ht="15" hidden="false" customHeight="true" outlineLevel="0" collapsed="false">
      <c r="A20" s="4" t="s">
        <v>40</v>
      </c>
      <c r="B20" s="5" t="n">
        <v>850</v>
      </c>
      <c r="C20" s="7" t="s">
        <v>41</v>
      </c>
      <c r="D20" s="6" t="s">
        <v>42</v>
      </c>
      <c r="E20" s="6"/>
      <c r="F20" s="6"/>
      <c r="G20" s="6"/>
      <c r="H20" s="6"/>
    </row>
    <row r="21" customFormat="false" ht="15" hidden="false" customHeight="true" outlineLevel="0" collapsed="false">
      <c r="A21" s="4" t="s">
        <v>43</v>
      </c>
      <c r="B21" s="5" t="n">
        <v>2200</v>
      </c>
      <c r="C21" s="7" t="s">
        <v>44</v>
      </c>
    </row>
    <row r="22" customFormat="false" ht="15" hidden="false" customHeight="true" outlineLevel="0" collapsed="false">
      <c r="A22" s="4" t="s">
        <v>45</v>
      </c>
      <c r="B22" s="5" t="n">
        <v>129.5</v>
      </c>
      <c r="C22" s="7" t="s">
        <v>46</v>
      </c>
      <c r="D22" s="6" t="s">
        <v>47</v>
      </c>
      <c r="E22" s="6"/>
      <c r="F22" s="6"/>
      <c r="G22" s="6"/>
      <c r="H22" s="6"/>
    </row>
    <row r="24" customFormat="false" ht="15.75" hidden="false" customHeight="true" outlineLevel="0" collapsed="false">
      <c r="A24" s="3" t="s">
        <v>48</v>
      </c>
      <c r="B24" s="3"/>
      <c r="C24" s="3"/>
      <c r="D24" s="3"/>
      <c r="E24" s="3"/>
      <c r="F24" s="3"/>
      <c r="G24" s="3"/>
      <c r="H24" s="3"/>
    </row>
    <row r="25" customFormat="false" ht="109.5" hidden="false" customHeight="true" outlineLevel="0" collapsed="false">
      <c r="A25" s="8" t="s">
        <v>49</v>
      </c>
      <c r="B25" s="8"/>
      <c r="C25" s="8"/>
      <c r="D25" s="8"/>
      <c r="E25" s="8"/>
      <c r="F25" s="8"/>
      <c r="G25" s="8"/>
      <c r="H25" s="8"/>
    </row>
    <row r="26" customFormat="false" ht="15" hidden="false" customHeight="false" outlineLevel="0" collapsed="false">
      <c r="A26" s="8"/>
      <c r="B26" s="8"/>
      <c r="C26" s="8"/>
      <c r="D26" s="8"/>
      <c r="E26" s="8"/>
      <c r="F26" s="8"/>
      <c r="G26" s="8"/>
      <c r="H26" s="8"/>
    </row>
    <row r="27" customFormat="false" ht="15" hidden="false" customHeight="false" outlineLevel="0" collapsed="false">
      <c r="A27" s="8"/>
      <c r="B27" s="8"/>
      <c r="C27" s="8"/>
      <c r="D27" s="8"/>
      <c r="E27" s="8"/>
      <c r="F27" s="8"/>
      <c r="G27" s="8"/>
      <c r="H27" s="8"/>
    </row>
    <row r="28" customFormat="false" ht="15" hidden="false" customHeight="false" outlineLevel="0" collapsed="false">
      <c r="A28" s="8"/>
      <c r="B28" s="8"/>
      <c r="C28" s="8"/>
      <c r="D28" s="8"/>
      <c r="E28" s="8"/>
      <c r="F28" s="8"/>
      <c r="G28" s="8"/>
      <c r="H28" s="8"/>
    </row>
    <row r="29" customFormat="false" ht="15" hidden="false" customHeight="false" outlineLevel="0" collapsed="false">
      <c r="A29" s="8"/>
      <c r="B29" s="8"/>
      <c r="C29" s="8"/>
      <c r="D29" s="8"/>
      <c r="E29" s="8"/>
      <c r="F29" s="8"/>
      <c r="G29" s="8"/>
      <c r="H29" s="8"/>
    </row>
    <row r="30" customFormat="false" ht="15" hidden="false" customHeight="false" outlineLevel="0" collapsed="false">
      <c r="A30" s="8"/>
      <c r="B30" s="8"/>
      <c r="C30" s="8"/>
      <c r="D30" s="8"/>
      <c r="E30" s="8"/>
      <c r="F30" s="8"/>
      <c r="G30" s="8"/>
      <c r="H30" s="8"/>
    </row>
    <row r="31" customFormat="false" ht="15" hidden="false" customHeight="false" outlineLevel="0" collapsed="false">
      <c r="A31" s="8"/>
      <c r="B31" s="8"/>
      <c r="C31" s="8"/>
      <c r="D31" s="8"/>
      <c r="E31" s="8"/>
      <c r="F31" s="8"/>
      <c r="G31" s="8"/>
      <c r="H31" s="8"/>
    </row>
  </sheetData>
  <mergeCells count="21">
    <mergeCell ref="A1:H1"/>
    <mergeCell ref="A2:H2"/>
    <mergeCell ref="A4:H4"/>
    <mergeCell ref="D5:H5"/>
    <mergeCell ref="D6:H6"/>
    <mergeCell ref="D7:H7"/>
    <mergeCell ref="D8:H8"/>
    <mergeCell ref="D9:H9"/>
    <mergeCell ref="D10:H10"/>
    <mergeCell ref="D11:H11"/>
    <mergeCell ref="D12:H12"/>
    <mergeCell ref="A14:H14"/>
    <mergeCell ref="D15:H15"/>
    <mergeCell ref="D16:H16"/>
    <mergeCell ref="D17:H17"/>
    <mergeCell ref="D18:H18"/>
    <mergeCell ref="D19:H19"/>
    <mergeCell ref="D20:H20"/>
    <mergeCell ref="D22:H22"/>
    <mergeCell ref="A24:H24"/>
    <mergeCell ref="A25: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7"/>
    <col collapsed="false" customWidth="true" hidden="false" outlineLevel="0" max="4" min="4" style="0" width="8"/>
    <col collapsed="false" customWidth="true" hidden="false" outlineLevel="0" max="7" min="5" style="0" width="12"/>
    <col collapsed="false" customWidth="true" hidden="false" outlineLevel="0" max="8" min="8" style="0" width="14"/>
    <col collapsed="false" customWidth="true" hidden="false" outlineLevel="0" max="9" min="9" style="0" width="13"/>
    <col collapsed="false" customWidth="true" hidden="false" outlineLevel="0" max="10" min="10" style="0" width="18"/>
  </cols>
  <sheetData>
    <row r="1" customFormat="false" ht="15.75" hidden="false" customHeight="true" outlineLevel="0" collapsed="false">
      <c r="A1" s="9" t="s">
        <v>50</v>
      </c>
      <c r="B1" s="9" t="s">
        <v>51</v>
      </c>
      <c r="C1" s="9" t="s">
        <v>52</v>
      </c>
      <c r="D1" s="9" t="s">
        <v>53</v>
      </c>
      <c r="E1" s="9" t="s">
        <v>54</v>
      </c>
      <c r="F1" s="9" t="s">
        <v>55</v>
      </c>
      <c r="G1" s="9" t="s">
        <v>56</v>
      </c>
      <c r="H1" s="9" t="s">
        <v>57</v>
      </c>
      <c r="I1" s="9" t="s">
        <v>58</v>
      </c>
      <c r="J1" s="9" t="s">
        <v>59</v>
      </c>
    </row>
    <row r="2" customFormat="false" ht="15" hidden="false" customHeight="false" outlineLevel="0" collapsed="false">
      <c r="A2" s="10" t="n">
        <v>1</v>
      </c>
      <c r="B2" s="10" t="s">
        <v>60</v>
      </c>
      <c r="C2" s="10" t="n">
        <v>0</v>
      </c>
      <c r="D2" s="10" t="s">
        <v>61</v>
      </c>
      <c r="E2" s="11" t="n">
        <v>41.8</v>
      </c>
      <c r="F2" s="12" t="n">
        <v>0</v>
      </c>
      <c r="G2" s="13" t="n">
        <f aca="false">E2-F2</f>
        <v>41.8</v>
      </c>
      <c r="H2" s="13" t="n">
        <f aca="false">MAX(G2,0)</f>
        <v>41.8</v>
      </c>
      <c r="I2" s="13" t="n">
        <f aca="false">MAX(-G2,0)</f>
        <v>0</v>
      </c>
      <c r="J2" s="10" t="s">
        <v>62</v>
      </c>
    </row>
    <row r="3" customFormat="false" ht="15" hidden="false" customHeight="false" outlineLevel="0" collapsed="false">
      <c r="A3" s="10" t="n">
        <v>1</v>
      </c>
      <c r="B3" s="10" t="s">
        <v>60</v>
      </c>
      <c r="C3" s="10" t="n">
        <v>1</v>
      </c>
      <c r="D3" s="10" t="s">
        <v>63</v>
      </c>
      <c r="E3" s="11" t="n">
        <v>38.2</v>
      </c>
      <c r="F3" s="12" t="n">
        <v>0</v>
      </c>
      <c r="G3" s="13" t="n">
        <f aca="false">E3-F3</f>
        <v>38.2</v>
      </c>
      <c r="H3" s="13" t="n">
        <f aca="false">MAX(G3,0)</f>
        <v>38.2</v>
      </c>
      <c r="I3" s="13" t="n">
        <f aca="false">MAX(-G3,0)</f>
        <v>0</v>
      </c>
      <c r="J3" s="10" t="s">
        <v>62</v>
      </c>
    </row>
    <row r="4" customFormat="false" ht="15" hidden="false" customHeight="false" outlineLevel="0" collapsed="false">
      <c r="A4" s="10" t="n">
        <v>1</v>
      </c>
      <c r="B4" s="10" t="s">
        <v>60</v>
      </c>
      <c r="C4" s="10" t="n">
        <v>2</v>
      </c>
      <c r="D4" s="10" t="s">
        <v>64</v>
      </c>
      <c r="E4" s="11" t="n">
        <v>39.7</v>
      </c>
      <c r="F4" s="12" t="n">
        <v>0</v>
      </c>
      <c r="G4" s="13" t="n">
        <f aca="false">E4-F4</f>
        <v>39.7</v>
      </c>
      <c r="H4" s="13" t="n">
        <f aca="false">MAX(G4,0)</f>
        <v>39.7</v>
      </c>
      <c r="I4" s="13" t="n">
        <f aca="false">MAX(-G4,0)</f>
        <v>0</v>
      </c>
      <c r="J4" s="10" t="s">
        <v>62</v>
      </c>
    </row>
    <row r="5" customFormat="false" ht="15" hidden="false" customHeight="false" outlineLevel="0" collapsed="false">
      <c r="A5" s="10" t="n">
        <v>1</v>
      </c>
      <c r="B5" s="10" t="s">
        <v>60</v>
      </c>
      <c r="C5" s="10" t="n">
        <v>3</v>
      </c>
      <c r="D5" s="10" t="s">
        <v>65</v>
      </c>
      <c r="E5" s="11" t="n">
        <v>39.3</v>
      </c>
      <c r="F5" s="12" t="n">
        <v>0</v>
      </c>
      <c r="G5" s="13" t="n">
        <f aca="false">E5-F5</f>
        <v>39.3</v>
      </c>
      <c r="H5" s="13" t="n">
        <f aca="false">MAX(G5,0)</f>
        <v>39.3</v>
      </c>
      <c r="I5" s="13" t="n">
        <f aca="false">MAX(-G5,0)</f>
        <v>0</v>
      </c>
      <c r="J5" s="10" t="s">
        <v>62</v>
      </c>
    </row>
    <row r="6" customFormat="false" ht="15" hidden="false" customHeight="false" outlineLevel="0" collapsed="false">
      <c r="A6" s="10" t="n">
        <v>1</v>
      </c>
      <c r="B6" s="10" t="s">
        <v>60</v>
      </c>
      <c r="C6" s="10" t="n">
        <v>4</v>
      </c>
      <c r="D6" s="10" t="s">
        <v>66</v>
      </c>
      <c r="E6" s="11" t="n">
        <v>42.4</v>
      </c>
      <c r="F6" s="12" t="n">
        <v>0</v>
      </c>
      <c r="G6" s="13" t="n">
        <f aca="false">E6-F6</f>
        <v>42.4</v>
      </c>
      <c r="H6" s="13" t="n">
        <f aca="false">MAX(G6,0)</f>
        <v>42.4</v>
      </c>
      <c r="I6" s="13" t="n">
        <f aca="false">MAX(-G6,0)</f>
        <v>0</v>
      </c>
      <c r="J6" s="10" t="s">
        <v>62</v>
      </c>
    </row>
    <row r="7" customFormat="false" ht="15" hidden="false" customHeight="false" outlineLevel="0" collapsed="false">
      <c r="A7" s="10" t="n">
        <v>1</v>
      </c>
      <c r="B7" s="10" t="s">
        <v>60</v>
      </c>
      <c r="C7" s="10" t="n">
        <v>5</v>
      </c>
      <c r="D7" s="10" t="s">
        <v>67</v>
      </c>
      <c r="E7" s="11" t="n">
        <v>59.1</v>
      </c>
      <c r="F7" s="12" t="n">
        <v>0</v>
      </c>
      <c r="G7" s="13" t="n">
        <f aca="false">E7-F7</f>
        <v>59.1</v>
      </c>
      <c r="H7" s="13" t="n">
        <f aca="false">MAX(G7,0)</f>
        <v>59.1</v>
      </c>
      <c r="I7" s="13" t="n">
        <f aca="false">MAX(-G7,0)</f>
        <v>0</v>
      </c>
      <c r="J7" s="10" t="s">
        <v>62</v>
      </c>
    </row>
    <row r="8" customFormat="false" ht="15" hidden="false" customHeight="false" outlineLevel="0" collapsed="false">
      <c r="A8" s="10" t="n">
        <v>1</v>
      </c>
      <c r="B8" s="10" t="s">
        <v>60</v>
      </c>
      <c r="C8" s="10" t="n">
        <v>6</v>
      </c>
      <c r="D8" s="10" t="s">
        <v>68</v>
      </c>
      <c r="E8" s="11" t="n">
        <v>72.4</v>
      </c>
      <c r="F8" s="14" t="n">
        <v>20.4</v>
      </c>
      <c r="G8" s="13" t="n">
        <f aca="false">E8-F8</f>
        <v>52</v>
      </c>
      <c r="H8" s="13" t="n">
        <f aca="false">MAX(G8,0)</f>
        <v>52</v>
      </c>
      <c r="I8" s="13" t="n">
        <f aca="false">MAX(-G8,0)</f>
        <v>0</v>
      </c>
      <c r="J8" s="10" t="s">
        <v>69</v>
      </c>
    </row>
    <row r="9" customFormat="false" ht="15" hidden="false" customHeight="false" outlineLevel="0" collapsed="false">
      <c r="A9" s="10" t="n">
        <v>1</v>
      </c>
      <c r="B9" s="10" t="s">
        <v>60</v>
      </c>
      <c r="C9" s="10" t="n">
        <v>7</v>
      </c>
      <c r="D9" s="10" t="s">
        <v>70</v>
      </c>
      <c r="E9" s="11" t="n">
        <v>85.5</v>
      </c>
      <c r="F9" s="14" t="n">
        <v>36.7</v>
      </c>
      <c r="G9" s="13" t="n">
        <f aca="false">E9-F9</f>
        <v>48.8</v>
      </c>
      <c r="H9" s="13" t="n">
        <f aca="false">MAX(G9,0)</f>
        <v>48.8</v>
      </c>
      <c r="I9" s="13" t="n">
        <f aca="false">MAX(-G9,0)</f>
        <v>0</v>
      </c>
      <c r="J9" s="10" t="s">
        <v>69</v>
      </c>
    </row>
    <row r="10" customFormat="false" ht="15" hidden="false" customHeight="false" outlineLevel="0" collapsed="false">
      <c r="A10" s="10" t="n">
        <v>1</v>
      </c>
      <c r="B10" s="10" t="s">
        <v>60</v>
      </c>
      <c r="C10" s="10" t="n">
        <v>8</v>
      </c>
      <c r="D10" s="10" t="s">
        <v>71</v>
      </c>
      <c r="E10" s="11" t="n">
        <v>89</v>
      </c>
      <c r="F10" s="14" t="n">
        <v>62.9</v>
      </c>
      <c r="G10" s="13" t="n">
        <f aca="false">E10-F10</f>
        <v>26.1</v>
      </c>
      <c r="H10" s="13" t="n">
        <f aca="false">MAX(G10,0)</f>
        <v>26.1</v>
      </c>
      <c r="I10" s="13" t="n">
        <f aca="false">MAX(-G10,0)</f>
        <v>0</v>
      </c>
      <c r="J10" s="10" t="s">
        <v>69</v>
      </c>
    </row>
    <row r="11" customFormat="false" ht="15" hidden="false" customHeight="false" outlineLevel="0" collapsed="false">
      <c r="A11" s="10" t="n">
        <v>1</v>
      </c>
      <c r="B11" s="10" t="s">
        <v>60</v>
      </c>
      <c r="C11" s="10" t="n">
        <v>9</v>
      </c>
      <c r="D11" s="10" t="s">
        <v>72</v>
      </c>
      <c r="E11" s="11" t="n">
        <v>90.8</v>
      </c>
      <c r="F11" s="14" t="n">
        <v>86.1</v>
      </c>
      <c r="G11" s="13" t="n">
        <f aca="false">E11-F11</f>
        <v>4.7</v>
      </c>
      <c r="H11" s="13" t="n">
        <f aca="false">MAX(G11,0)</f>
        <v>4.7</v>
      </c>
      <c r="I11" s="13" t="n">
        <f aca="false">MAX(-G11,0)</f>
        <v>0</v>
      </c>
      <c r="J11" s="10" t="s">
        <v>69</v>
      </c>
    </row>
    <row r="12" customFormat="false" ht="15" hidden="false" customHeight="false" outlineLevel="0" collapsed="false">
      <c r="A12" s="10" t="n">
        <v>1</v>
      </c>
      <c r="B12" s="10" t="s">
        <v>60</v>
      </c>
      <c r="C12" s="10" t="n">
        <v>10</v>
      </c>
      <c r="D12" s="10" t="s">
        <v>73</v>
      </c>
      <c r="E12" s="11" t="n">
        <v>94.5</v>
      </c>
      <c r="F12" s="14" t="n">
        <v>113.3</v>
      </c>
      <c r="G12" s="13" t="n">
        <f aca="false">E12-F12</f>
        <v>-18.8</v>
      </c>
      <c r="H12" s="13" t="n">
        <f aca="false">MAX(G12,0)</f>
        <v>0</v>
      </c>
      <c r="I12" s="13" t="n">
        <f aca="false">MAX(-G12,0)</f>
        <v>18.8</v>
      </c>
      <c r="J12" s="10" t="s">
        <v>74</v>
      </c>
    </row>
    <row r="13" customFormat="false" ht="15" hidden="false" customHeight="false" outlineLevel="0" collapsed="false">
      <c r="A13" s="10" t="n">
        <v>1</v>
      </c>
      <c r="B13" s="10" t="s">
        <v>60</v>
      </c>
      <c r="C13" s="10" t="n">
        <v>11</v>
      </c>
      <c r="D13" s="10" t="s">
        <v>75</v>
      </c>
      <c r="E13" s="11" t="n">
        <v>89</v>
      </c>
      <c r="F13" s="14" t="n">
        <v>131.5</v>
      </c>
      <c r="G13" s="13" t="n">
        <f aca="false">E13-F13</f>
        <v>-42.5</v>
      </c>
      <c r="H13" s="13" t="n">
        <f aca="false">MAX(G13,0)</f>
        <v>0</v>
      </c>
      <c r="I13" s="13" t="n">
        <f aca="false">MAX(-G13,0)</f>
        <v>42.5</v>
      </c>
      <c r="J13" s="10" t="s">
        <v>74</v>
      </c>
    </row>
    <row r="14" customFormat="false" ht="15" hidden="false" customHeight="false" outlineLevel="0" collapsed="false">
      <c r="A14" s="10" t="n">
        <v>1</v>
      </c>
      <c r="B14" s="10" t="s">
        <v>60</v>
      </c>
      <c r="C14" s="10" t="n">
        <v>12</v>
      </c>
      <c r="D14" s="10" t="s">
        <v>76</v>
      </c>
      <c r="E14" s="11" t="n">
        <v>77.9</v>
      </c>
      <c r="F14" s="14" t="n">
        <v>133.3</v>
      </c>
      <c r="G14" s="13" t="n">
        <f aca="false">E14-F14</f>
        <v>-55.4</v>
      </c>
      <c r="H14" s="13" t="n">
        <f aca="false">MAX(G14,0)</f>
        <v>0</v>
      </c>
      <c r="I14" s="13" t="n">
        <f aca="false">MAX(-G14,0)</f>
        <v>55.4</v>
      </c>
      <c r="J14" s="10" t="s">
        <v>77</v>
      </c>
    </row>
    <row r="15" customFormat="false" ht="15" hidden="false" customHeight="false" outlineLevel="0" collapsed="false">
      <c r="A15" s="10" t="n">
        <v>1</v>
      </c>
      <c r="B15" s="10" t="s">
        <v>60</v>
      </c>
      <c r="C15" s="10" t="n">
        <v>13</v>
      </c>
      <c r="D15" s="10" t="s">
        <v>78</v>
      </c>
      <c r="E15" s="11" t="n">
        <v>89.8</v>
      </c>
      <c r="F15" s="14" t="n">
        <v>132.3</v>
      </c>
      <c r="G15" s="13" t="n">
        <f aca="false">E15-F15</f>
        <v>-42.5</v>
      </c>
      <c r="H15" s="13" t="n">
        <f aca="false">MAX(G15,0)</f>
        <v>0</v>
      </c>
      <c r="I15" s="13" t="n">
        <f aca="false">MAX(-G15,0)</f>
        <v>42.5</v>
      </c>
      <c r="J15" s="10" t="s">
        <v>74</v>
      </c>
    </row>
    <row r="16" customFormat="false" ht="15" hidden="false" customHeight="false" outlineLevel="0" collapsed="false">
      <c r="A16" s="10" t="n">
        <v>1</v>
      </c>
      <c r="B16" s="10" t="s">
        <v>60</v>
      </c>
      <c r="C16" s="10" t="n">
        <v>14</v>
      </c>
      <c r="D16" s="10" t="s">
        <v>79</v>
      </c>
      <c r="E16" s="11" t="n">
        <v>90.6</v>
      </c>
      <c r="F16" s="14" t="n">
        <v>110.2</v>
      </c>
      <c r="G16" s="13" t="n">
        <f aca="false">E16-F16</f>
        <v>-19.6</v>
      </c>
      <c r="H16" s="13" t="n">
        <f aca="false">MAX(G16,0)</f>
        <v>0</v>
      </c>
      <c r="I16" s="13" t="n">
        <f aca="false">MAX(-G16,0)</f>
        <v>19.6</v>
      </c>
      <c r="J16" s="10" t="s">
        <v>74</v>
      </c>
    </row>
    <row r="17" customFormat="false" ht="15" hidden="false" customHeight="false" outlineLevel="0" collapsed="false">
      <c r="A17" s="10" t="n">
        <v>1</v>
      </c>
      <c r="B17" s="10" t="s">
        <v>60</v>
      </c>
      <c r="C17" s="10" t="n">
        <v>15</v>
      </c>
      <c r="D17" s="10" t="s">
        <v>80</v>
      </c>
      <c r="E17" s="11" t="n">
        <v>96.4</v>
      </c>
      <c r="F17" s="14" t="n">
        <v>87.2</v>
      </c>
      <c r="G17" s="13" t="n">
        <f aca="false">E17-F17</f>
        <v>9.2</v>
      </c>
      <c r="H17" s="13" t="n">
        <f aca="false">MAX(G17,0)</f>
        <v>9.2</v>
      </c>
      <c r="I17" s="13" t="n">
        <f aca="false">MAX(-G17,0)</f>
        <v>0</v>
      </c>
      <c r="J17" s="10" t="s">
        <v>69</v>
      </c>
    </row>
    <row r="18" customFormat="false" ht="15" hidden="false" customHeight="false" outlineLevel="0" collapsed="false">
      <c r="A18" s="10" t="n">
        <v>1</v>
      </c>
      <c r="B18" s="10" t="s">
        <v>60</v>
      </c>
      <c r="C18" s="10" t="n">
        <v>16</v>
      </c>
      <c r="D18" s="10" t="s">
        <v>81</v>
      </c>
      <c r="E18" s="11" t="n">
        <v>91.3</v>
      </c>
      <c r="F18" s="14" t="n">
        <v>59.6</v>
      </c>
      <c r="G18" s="13" t="n">
        <f aca="false">E18-F18</f>
        <v>31.7</v>
      </c>
      <c r="H18" s="13" t="n">
        <f aca="false">MAX(G18,0)</f>
        <v>31.7</v>
      </c>
      <c r="I18" s="13" t="n">
        <f aca="false">MAX(-G18,0)</f>
        <v>0</v>
      </c>
      <c r="J18" s="10" t="s">
        <v>69</v>
      </c>
    </row>
    <row r="19" customFormat="false" ht="15" hidden="false" customHeight="false" outlineLevel="0" collapsed="false">
      <c r="A19" s="10" t="n">
        <v>1</v>
      </c>
      <c r="B19" s="10" t="s">
        <v>60</v>
      </c>
      <c r="C19" s="10" t="n">
        <v>17</v>
      </c>
      <c r="D19" s="10" t="s">
        <v>82</v>
      </c>
      <c r="E19" s="11" t="n">
        <v>93.6</v>
      </c>
      <c r="F19" s="14" t="n">
        <v>41.3</v>
      </c>
      <c r="G19" s="13" t="n">
        <f aca="false">E19-F19</f>
        <v>52.3</v>
      </c>
      <c r="H19" s="13" t="n">
        <f aca="false">MAX(G19,0)</f>
        <v>52.3</v>
      </c>
      <c r="I19" s="13" t="n">
        <f aca="false">MAX(-G19,0)</f>
        <v>0</v>
      </c>
      <c r="J19" s="10" t="s">
        <v>69</v>
      </c>
    </row>
    <row r="20" customFormat="false" ht="15" hidden="false" customHeight="false" outlineLevel="0" collapsed="false">
      <c r="A20" s="10" t="n">
        <v>1</v>
      </c>
      <c r="B20" s="10" t="s">
        <v>60</v>
      </c>
      <c r="C20" s="10" t="n">
        <v>18</v>
      </c>
      <c r="D20" s="10" t="s">
        <v>83</v>
      </c>
      <c r="E20" s="11" t="n">
        <v>77.8</v>
      </c>
      <c r="F20" s="14" t="n">
        <v>25.5</v>
      </c>
      <c r="G20" s="13" t="n">
        <f aca="false">E20-F20</f>
        <v>52.3</v>
      </c>
      <c r="H20" s="13" t="n">
        <f aca="false">MAX(G20,0)</f>
        <v>52.3</v>
      </c>
      <c r="I20" s="13" t="n">
        <f aca="false">MAX(-G20,0)</f>
        <v>0</v>
      </c>
      <c r="J20" s="10" t="s">
        <v>69</v>
      </c>
    </row>
    <row r="21" customFormat="false" ht="15" hidden="false" customHeight="false" outlineLevel="0" collapsed="false">
      <c r="A21" s="10" t="n">
        <v>1</v>
      </c>
      <c r="B21" s="10" t="s">
        <v>60</v>
      </c>
      <c r="C21" s="10" t="n">
        <v>19</v>
      </c>
      <c r="D21" s="10" t="s">
        <v>84</v>
      </c>
      <c r="E21" s="11" t="n">
        <v>72.2</v>
      </c>
      <c r="F21" s="12" t="n">
        <v>0</v>
      </c>
      <c r="G21" s="13" t="n">
        <f aca="false">E21-F21</f>
        <v>72.2</v>
      </c>
      <c r="H21" s="13" t="n">
        <f aca="false">MAX(G21,0)</f>
        <v>72.2</v>
      </c>
      <c r="I21" s="13" t="n">
        <f aca="false">MAX(-G21,0)</f>
        <v>0</v>
      </c>
      <c r="J21" s="10" t="s">
        <v>69</v>
      </c>
    </row>
    <row r="22" customFormat="false" ht="15" hidden="false" customHeight="false" outlineLevel="0" collapsed="false">
      <c r="A22" s="10" t="n">
        <v>1</v>
      </c>
      <c r="B22" s="10" t="s">
        <v>60</v>
      </c>
      <c r="C22" s="10" t="n">
        <v>20</v>
      </c>
      <c r="D22" s="10" t="s">
        <v>85</v>
      </c>
      <c r="E22" s="11" t="n">
        <v>55.8</v>
      </c>
      <c r="F22" s="12" t="n">
        <v>0</v>
      </c>
      <c r="G22" s="13" t="n">
        <f aca="false">E22-F22</f>
        <v>55.8</v>
      </c>
      <c r="H22" s="13" t="n">
        <f aca="false">MAX(G22,0)</f>
        <v>55.8</v>
      </c>
      <c r="I22" s="13" t="n">
        <f aca="false">MAX(-G22,0)</f>
        <v>0</v>
      </c>
      <c r="J22" s="10" t="s">
        <v>69</v>
      </c>
    </row>
    <row r="23" customFormat="false" ht="15" hidden="false" customHeight="false" outlineLevel="0" collapsed="false">
      <c r="A23" s="10" t="n">
        <v>1</v>
      </c>
      <c r="B23" s="10" t="s">
        <v>60</v>
      </c>
      <c r="C23" s="10" t="n">
        <v>21</v>
      </c>
      <c r="D23" s="10" t="s">
        <v>86</v>
      </c>
      <c r="E23" s="11" t="n">
        <v>52.3</v>
      </c>
      <c r="F23" s="12" t="n">
        <v>0</v>
      </c>
      <c r="G23" s="13" t="n">
        <f aca="false">E23-F23</f>
        <v>52.3</v>
      </c>
      <c r="H23" s="13" t="n">
        <f aca="false">MAX(G23,0)</f>
        <v>52.3</v>
      </c>
      <c r="I23" s="13" t="n">
        <f aca="false">MAX(-G23,0)</f>
        <v>0</v>
      </c>
      <c r="J23" s="10" t="s">
        <v>69</v>
      </c>
    </row>
    <row r="24" customFormat="false" ht="15" hidden="false" customHeight="false" outlineLevel="0" collapsed="false">
      <c r="A24" s="10" t="n">
        <v>1</v>
      </c>
      <c r="B24" s="10" t="s">
        <v>60</v>
      </c>
      <c r="C24" s="10" t="n">
        <v>22</v>
      </c>
      <c r="D24" s="10" t="s">
        <v>87</v>
      </c>
      <c r="E24" s="11" t="n">
        <v>41.3</v>
      </c>
      <c r="F24" s="12" t="n">
        <v>0</v>
      </c>
      <c r="G24" s="13" t="n">
        <f aca="false">E24-F24</f>
        <v>41.3</v>
      </c>
      <c r="H24" s="13" t="n">
        <f aca="false">MAX(G24,0)</f>
        <v>41.3</v>
      </c>
      <c r="I24" s="13" t="n">
        <f aca="false">MAX(-G24,0)</f>
        <v>0</v>
      </c>
      <c r="J24" s="10" t="s">
        <v>62</v>
      </c>
    </row>
    <row r="25" customFormat="false" ht="15" hidden="false" customHeight="false" outlineLevel="0" collapsed="false">
      <c r="A25" s="10" t="n">
        <v>1</v>
      </c>
      <c r="B25" s="10" t="s">
        <v>60</v>
      </c>
      <c r="C25" s="10" t="n">
        <v>23</v>
      </c>
      <c r="D25" s="10" t="s">
        <v>88</v>
      </c>
      <c r="E25" s="11" t="n">
        <v>43</v>
      </c>
      <c r="F25" s="12" t="n">
        <v>0</v>
      </c>
      <c r="G25" s="13" t="n">
        <f aca="false">E25-F25</f>
        <v>43</v>
      </c>
      <c r="H25" s="13" t="n">
        <f aca="false">MAX(G25,0)</f>
        <v>43</v>
      </c>
      <c r="I25" s="13" t="n">
        <f aca="false">MAX(-G25,0)</f>
        <v>0</v>
      </c>
      <c r="J25" s="10" t="s">
        <v>62</v>
      </c>
    </row>
    <row r="26" customFormat="false" ht="15" hidden="false" customHeight="false" outlineLevel="0" collapsed="false">
      <c r="A26" s="10" t="n">
        <v>2</v>
      </c>
      <c r="B26" s="10" t="s">
        <v>89</v>
      </c>
      <c r="C26" s="10" t="n">
        <v>0</v>
      </c>
      <c r="D26" s="10" t="s">
        <v>61</v>
      </c>
      <c r="E26" s="11" t="n">
        <v>41.7</v>
      </c>
      <c r="F26" s="12" t="n">
        <v>0</v>
      </c>
      <c r="G26" s="13" t="n">
        <f aca="false">E26-F26</f>
        <v>41.7</v>
      </c>
      <c r="H26" s="13" t="n">
        <f aca="false">MAX(G26,0)</f>
        <v>41.7</v>
      </c>
      <c r="I26" s="13" t="n">
        <f aca="false">MAX(-G26,0)</f>
        <v>0</v>
      </c>
      <c r="J26" s="10" t="s">
        <v>62</v>
      </c>
    </row>
    <row r="27" customFormat="false" ht="15" hidden="false" customHeight="false" outlineLevel="0" collapsed="false">
      <c r="A27" s="10" t="n">
        <v>2</v>
      </c>
      <c r="B27" s="10" t="s">
        <v>89</v>
      </c>
      <c r="C27" s="10" t="n">
        <v>1</v>
      </c>
      <c r="D27" s="10" t="s">
        <v>63</v>
      </c>
      <c r="E27" s="11" t="n">
        <v>43.2</v>
      </c>
      <c r="F27" s="12" t="n">
        <v>0</v>
      </c>
      <c r="G27" s="13" t="n">
        <f aca="false">E27-F27</f>
        <v>43.2</v>
      </c>
      <c r="H27" s="13" t="n">
        <f aca="false">MAX(G27,0)</f>
        <v>43.2</v>
      </c>
      <c r="I27" s="13" t="n">
        <f aca="false">MAX(-G27,0)</f>
        <v>0</v>
      </c>
      <c r="J27" s="10" t="s">
        <v>62</v>
      </c>
    </row>
    <row r="28" customFormat="false" ht="15" hidden="false" customHeight="false" outlineLevel="0" collapsed="false">
      <c r="A28" s="10" t="n">
        <v>2</v>
      </c>
      <c r="B28" s="10" t="s">
        <v>89</v>
      </c>
      <c r="C28" s="10" t="n">
        <v>2</v>
      </c>
      <c r="D28" s="10" t="s">
        <v>64</v>
      </c>
      <c r="E28" s="11" t="n">
        <v>41.5</v>
      </c>
      <c r="F28" s="12" t="n">
        <v>0</v>
      </c>
      <c r="G28" s="13" t="n">
        <f aca="false">E28-F28</f>
        <v>41.5</v>
      </c>
      <c r="H28" s="13" t="n">
        <f aca="false">MAX(G28,0)</f>
        <v>41.5</v>
      </c>
      <c r="I28" s="13" t="n">
        <f aca="false">MAX(-G28,0)</f>
        <v>0</v>
      </c>
      <c r="J28" s="10" t="s">
        <v>62</v>
      </c>
    </row>
    <row r="29" customFormat="false" ht="15" hidden="false" customHeight="false" outlineLevel="0" collapsed="false">
      <c r="A29" s="10" t="n">
        <v>2</v>
      </c>
      <c r="B29" s="10" t="s">
        <v>89</v>
      </c>
      <c r="C29" s="10" t="n">
        <v>3</v>
      </c>
      <c r="D29" s="10" t="s">
        <v>65</v>
      </c>
      <c r="E29" s="11" t="n">
        <v>42.2</v>
      </c>
      <c r="F29" s="12" t="n">
        <v>0</v>
      </c>
      <c r="G29" s="13" t="n">
        <f aca="false">E29-F29</f>
        <v>42.2</v>
      </c>
      <c r="H29" s="13" t="n">
        <f aca="false">MAX(G29,0)</f>
        <v>42.2</v>
      </c>
      <c r="I29" s="13" t="n">
        <f aca="false">MAX(-G29,0)</f>
        <v>0</v>
      </c>
      <c r="J29" s="10" t="s">
        <v>62</v>
      </c>
    </row>
    <row r="30" customFormat="false" ht="15" hidden="false" customHeight="false" outlineLevel="0" collapsed="false">
      <c r="A30" s="10" t="n">
        <v>2</v>
      </c>
      <c r="B30" s="10" t="s">
        <v>89</v>
      </c>
      <c r="C30" s="10" t="n">
        <v>4</v>
      </c>
      <c r="D30" s="10" t="s">
        <v>66</v>
      </c>
      <c r="E30" s="11" t="n">
        <v>38.3</v>
      </c>
      <c r="F30" s="12" t="n">
        <v>0</v>
      </c>
      <c r="G30" s="13" t="n">
        <f aca="false">E30-F30</f>
        <v>38.3</v>
      </c>
      <c r="H30" s="13" t="n">
        <f aca="false">MAX(G30,0)</f>
        <v>38.3</v>
      </c>
      <c r="I30" s="13" t="n">
        <f aca="false">MAX(-G30,0)</f>
        <v>0</v>
      </c>
      <c r="J30" s="10" t="s">
        <v>62</v>
      </c>
    </row>
    <row r="31" customFormat="false" ht="15" hidden="false" customHeight="false" outlineLevel="0" collapsed="false">
      <c r="A31" s="10" t="n">
        <v>2</v>
      </c>
      <c r="B31" s="10" t="s">
        <v>89</v>
      </c>
      <c r="C31" s="10" t="n">
        <v>5</v>
      </c>
      <c r="D31" s="10" t="s">
        <v>67</v>
      </c>
      <c r="E31" s="11" t="n">
        <v>56.4</v>
      </c>
      <c r="F31" s="12" t="n">
        <v>0</v>
      </c>
      <c r="G31" s="13" t="n">
        <f aca="false">E31-F31</f>
        <v>56.4</v>
      </c>
      <c r="H31" s="13" t="n">
        <f aca="false">MAX(G31,0)</f>
        <v>56.4</v>
      </c>
      <c r="I31" s="13" t="n">
        <f aca="false">MAX(-G31,0)</f>
        <v>0</v>
      </c>
      <c r="J31" s="10" t="s">
        <v>62</v>
      </c>
    </row>
    <row r="32" customFormat="false" ht="15" hidden="false" customHeight="false" outlineLevel="0" collapsed="false">
      <c r="A32" s="10" t="n">
        <v>2</v>
      </c>
      <c r="B32" s="10" t="s">
        <v>89</v>
      </c>
      <c r="C32" s="10" t="n">
        <v>6</v>
      </c>
      <c r="D32" s="10" t="s">
        <v>68</v>
      </c>
      <c r="E32" s="11" t="n">
        <v>68.7</v>
      </c>
      <c r="F32" s="14" t="n">
        <v>22.2</v>
      </c>
      <c r="G32" s="13" t="n">
        <f aca="false">E32-F32</f>
        <v>46.5</v>
      </c>
      <c r="H32" s="13" t="n">
        <f aca="false">MAX(G32,0)</f>
        <v>46.5</v>
      </c>
      <c r="I32" s="13" t="n">
        <f aca="false">MAX(-G32,0)</f>
        <v>0</v>
      </c>
      <c r="J32" s="10" t="s">
        <v>69</v>
      </c>
    </row>
    <row r="33" customFormat="false" ht="15" hidden="false" customHeight="false" outlineLevel="0" collapsed="false">
      <c r="A33" s="10" t="n">
        <v>2</v>
      </c>
      <c r="B33" s="10" t="s">
        <v>89</v>
      </c>
      <c r="C33" s="10" t="n">
        <v>7</v>
      </c>
      <c r="D33" s="10" t="s">
        <v>70</v>
      </c>
      <c r="E33" s="11" t="n">
        <v>84.4</v>
      </c>
      <c r="F33" s="14" t="n">
        <v>40.5</v>
      </c>
      <c r="G33" s="13" t="n">
        <f aca="false">E33-F33</f>
        <v>43.9</v>
      </c>
      <c r="H33" s="13" t="n">
        <f aca="false">MAX(G33,0)</f>
        <v>43.9</v>
      </c>
      <c r="I33" s="13" t="n">
        <f aca="false">MAX(-G33,0)</f>
        <v>0</v>
      </c>
      <c r="J33" s="10" t="s">
        <v>69</v>
      </c>
    </row>
    <row r="34" customFormat="false" ht="15" hidden="false" customHeight="false" outlineLevel="0" collapsed="false">
      <c r="A34" s="10" t="n">
        <v>2</v>
      </c>
      <c r="B34" s="10" t="s">
        <v>89</v>
      </c>
      <c r="C34" s="10" t="n">
        <v>8</v>
      </c>
      <c r="D34" s="10" t="s">
        <v>71</v>
      </c>
      <c r="E34" s="11" t="n">
        <v>89.4</v>
      </c>
      <c r="F34" s="14" t="n">
        <v>68.9</v>
      </c>
      <c r="G34" s="13" t="n">
        <f aca="false">E34-F34</f>
        <v>20.5</v>
      </c>
      <c r="H34" s="13" t="n">
        <f aca="false">MAX(G34,0)</f>
        <v>20.5</v>
      </c>
      <c r="I34" s="13" t="n">
        <f aca="false">MAX(-G34,0)</f>
        <v>0</v>
      </c>
      <c r="J34" s="10" t="s">
        <v>69</v>
      </c>
    </row>
    <row r="35" customFormat="false" ht="15" hidden="false" customHeight="false" outlineLevel="0" collapsed="false">
      <c r="A35" s="10" t="n">
        <v>2</v>
      </c>
      <c r="B35" s="10" t="s">
        <v>89</v>
      </c>
      <c r="C35" s="10" t="n">
        <v>9</v>
      </c>
      <c r="D35" s="10" t="s">
        <v>72</v>
      </c>
      <c r="E35" s="11" t="n">
        <v>92.8</v>
      </c>
      <c r="F35" s="14" t="n">
        <v>94.5</v>
      </c>
      <c r="G35" s="13" t="n">
        <f aca="false">E35-F35</f>
        <v>-1.7</v>
      </c>
      <c r="H35" s="13" t="n">
        <f aca="false">MAX(G35,0)</f>
        <v>0</v>
      </c>
      <c r="I35" s="13" t="n">
        <f aca="false">MAX(-G35,0)</f>
        <v>1.7</v>
      </c>
      <c r="J35" s="10" t="s">
        <v>74</v>
      </c>
    </row>
    <row r="36" customFormat="false" ht="15" hidden="false" customHeight="false" outlineLevel="0" collapsed="false">
      <c r="A36" s="10" t="n">
        <v>2</v>
      </c>
      <c r="B36" s="10" t="s">
        <v>89</v>
      </c>
      <c r="C36" s="10" t="n">
        <v>10</v>
      </c>
      <c r="D36" s="10" t="s">
        <v>73</v>
      </c>
      <c r="E36" s="11" t="n">
        <v>91.9</v>
      </c>
      <c r="F36" s="14" t="n">
        <v>120</v>
      </c>
      <c r="G36" s="13" t="n">
        <f aca="false">E36-F36</f>
        <v>-28.1</v>
      </c>
      <c r="H36" s="13" t="n">
        <f aca="false">MAX(G36,0)</f>
        <v>0</v>
      </c>
      <c r="I36" s="13" t="n">
        <f aca="false">MAX(-G36,0)</f>
        <v>28.1</v>
      </c>
      <c r="J36" s="10" t="s">
        <v>74</v>
      </c>
    </row>
    <row r="37" customFormat="false" ht="15" hidden="false" customHeight="false" outlineLevel="0" collapsed="false">
      <c r="A37" s="10" t="n">
        <v>2</v>
      </c>
      <c r="B37" s="10" t="s">
        <v>89</v>
      </c>
      <c r="C37" s="10" t="n">
        <v>11</v>
      </c>
      <c r="D37" s="10" t="s">
        <v>75</v>
      </c>
      <c r="E37" s="11" t="n">
        <v>93.3</v>
      </c>
      <c r="F37" s="14" t="n">
        <v>142.3</v>
      </c>
      <c r="G37" s="13" t="n">
        <f aca="false">E37-F37</f>
        <v>-49</v>
      </c>
      <c r="H37" s="13" t="n">
        <f aca="false">MAX(G37,0)</f>
        <v>0</v>
      </c>
      <c r="I37" s="13" t="n">
        <f aca="false">MAX(-G37,0)</f>
        <v>49</v>
      </c>
      <c r="J37" s="10" t="s">
        <v>74</v>
      </c>
    </row>
    <row r="38" customFormat="false" ht="15" hidden="false" customHeight="false" outlineLevel="0" collapsed="false">
      <c r="A38" s="10" t="n">
        <v>2</v>
      </c>
      <c r="B38" s="10" t="s">
        <v>89</v>
      </c>
      <c r="C38" s="10" t="n">
        <v>12</v>
      </c>
      <c r="D38" s="10" t="s">
        <v>76</v>
      </c>
      <c r="E38" s="11" t="n">
        <v>76.7</v>
      </c>
      <c r="F38" s="14" t="n">
        <v>145.6</v>
      </c>
      <c r="G38" s="13" t="n">
        <f aca="false">E38-F38</f>
        <v>-68.9</v>
      </c>
      <c r="H38" s="13" t="n">
        <f aca="false">MAX(G38,0)</f>
        <v>0</v>
      </c>
      <c r="I38" s="13" t="n">
        <f aca="false">MAX(-G38,0)</f>
        <v>68.9</v>
      </c>
      <c r="J38" s="10" t="s">
        <v>77</v>
      </c>
    </row>
    <row r="39" customFormat="false" ht="15" hidden="false" customHeight="false" outlineLevel="0" collapsed="false">
      <c r="A39" s="10" t="n">
        <v>2</v>
      </c>
      <c r="B39" s="10" t="s">
        <v>89</v>
      </c>
      <c r="C39" s="10" t="n">
        <v>13</v>
      </c>
      <c r="D39" s="10" t="s">
        <v>78</v>
      </c>
      <c r="E39" s="11" t="n">
        <v>89.4</v>
      </c>
      <c r="F39" s="14" t="n">
        <v>138.4</v>
      </c>
      <c r="G39" s="13" t="n">
        <f aca="false">E39-F39</f>
        <v>-49</v>
      </c>
      <c r="H39" s="13" t="n">
        <f aca="false">MAX(G39,0)</f>
        <v>0</v>
      </c>
      <c r="I39" s="13" t="n">
        <f aca="false">MAX(-G39,0)</f>
        <v>49</v>
      </c>
      <c r="J39" s="10" t="s">
        <v>74</v>
      </c>
    </row>
    <row r="40" customFormat="false" ht="15" hidden="false" customHeight="false" outlineLevel="0" collapsed="false">
      <c r="A40" s="10" t="n">
        <v>2</v>
      </c>
      <c r="B40" s="10" t="s">
        <v>89</v>
      </c>
      <c r="C40" s="10" t="n">
        <v>14</v>
      </c>
      <c r="D40" s="10" t="s">
        <v>79</v>
      </c>
      <c r="E40" s="11" t="n">
        <v>90.8</v>
      </c>
      <c r="F40" s="14" t="n">
        <v>125.8</v>
      </c>
      <c r="G40" s="13" t="n">
        <f aca="false">E40-F40</f>
        <v>-35</v>
      </c>
      <c r="H40" s="13" t="n">
        <f aca="false">MAX(G40,0)</f>
        <v>0</v>
      </c>
      <c r="I40" s="13" t="n">
        <f aca="false">MAX(-G40,0)</f>
        <v>35</v>
      </c>
      <c r="J40" s="10" t="s">
        <v>74</v>
      </c>
    </row>
    <row r="41" customFormat="false" ht="15" hidden="false" customHeight="false" outlineLevel="0" collapsed="false">
      <c r="A41" s="10" t="n">
        <v>2</v>
      </c>
      <c r="B41" s="10" t="s">
        <v>89</v>
      </c>
      <c r="C41" s="10" t="n">
        <v>15</v>
      </c>
      <c r="D41" s="10" t="s">
        <v>80</v>
      </c>
      <c r="E41" s="11" t="n">
        <v>94.5</v>
      </c>
      <c r="F41" s="14" t="n">
        <v>96</v>
      </c>
      <c r="G41" s="13" t="n">
        <f aca="false">E41-F41</f>
        <v>-1.5</v>
      </c>
      <c r="H41" s="13" t="n">
        <f aca="false">MAX(G41,0)</f>
        <v>0</v>
      </c>
      <c r="I41" s="13" t="n">
        <f aca="false">MAX(-G41,0)</f>
        <v>1.5</v>
      </c>
      <c r="J41" s="10" t="s">
        <v>74</v>
      </c>
    </row>
    <row r="42" customFormat="false" ht="15" hidden="false" customHeight="false" outlineLevel="0" collapsed="false">
      <c r="A42" s="10" t="n">
        <v>2</v>
      </c>
      <c r="B42" s="10" t="s">
        <v>89</v>
      </c>
      <c r="C42" s="10" t="n">
        <v>16</v>
      </c>
      <c r="D42" s="10" t="s">
        <v>81</v>
      </c>
      <c r="E42" s="11" t="n">
        <v>94.8</v>
      </c>
      <c r="F42" s="14" t="n">
        <v>70.6</v>
      </c>
      <c r="G42" s="13" t="n">
        <f aca="false">E42-F42</f>
        <v>24.2</v>
      </c>
      <c r="H42" s="13" t="n">
        <f aca="false">MAX(G42,0)</f>
        <v>24.2</v>
      </c>
      <c r="I42" s="13" t="n">
        <f aca="false">MAX(-G42,0)</f>
        <v>0</v>
      </c>
      <c r="J42" s="10" t="s">
        <v>69</v>
      </c>
    </row>
    <row r="43" customFormat="false" ht="15" hidden="false" customHeight="false" outlineLevel="0" collapsed="false">
      <c r="A43" s="10" t="n">
        <v>2</v>
      </c>
      <c r="B43" s="10" t="s">
        <v>89</v>
      </c>
      <c r="C43" s="10" t="n">
        <v>17</v>
      </c>
      <c r="D43" s="10" t="s">
        <v>82</v>
      </c>
      <c r="E43" s="11" t="n">
        <v>93.2</v>
      </c>
      <c r="F43" s="14" t="n">
        <v>41.6</v>
      </c>
      <c r="G43" s="13" t="n">
        <f aca="false">E43-F43</f>
        <v>51.6</v>
      </c>
      <c r="H43" s="13" t="n">
        <f aca="false">MAX(G43,0)</f>
        <v>51.6</v>
      </c>
      <c r="I43" s="13" t="n">
        <f aca="false">MAX(-G43,0)</f>
        <v>0</v>
      </c>
      <c r="J43" s="10" t="s">
        <v>69</v>
      </c>
    </row>
    <row r="44" customFormat="false" ht="15" hidden="false" customHeight="false" outlineLevel="0" collapsed="false">
      <c r="A44" s="10" t="n">
        <v>2</v>
      </c>
      <c r="B44" s="10" t="s">
        <v>89</v>
      </c>
      <c r="C44" s="10" t="n">
        <v>18</v>
      </c>
      <c r="D44" s="10" t="s">
        <v>83</v>
      </c>
      <c r="E44" s="11" t="n">
        <v>73.2</v>
      </c>
      <c r="F44" s="14" t="n">
        <v>24.1</v>
      </c>
      <c r="G44" s="13" t="n">
        <f aca="false">E44-F44</f>
        <v>49.1</v>
      </c>
      <c r="H44" s="13" t="n">
        <f aca="false">MAX(G44,0)</f>
        <v>49.1</v>
      </c>
      <c r="I44" s="13" t="n">
        <f aca="false">MAX(-G44,0)</f>
        <v>0</v>
      </c>
      <c r="J44" s="10" t="s">
        <v>69</v>
      </c>
    </row>
    <row r="45" customFormat="false" ht="15" hidden="false" customHeight="false" outlineLevel="0" collapsed="false">
      <c r="A45" s="10" t="n">
        <v>2</v>
      </c>
      <c r="B45" s="10" t="s">
        <v>89</v>
      </c>
      <c r="C45" s="10" t="n">
        <v>19</v>
      </c>
      <c r="D45" s="10" t="s">
        <v>84</v>
      </c>
      <c r="E45" s="11" t="n">
        <v>70.6</v>
      </c>
      <c r="F45" s="12" t="n">
        <v>0</v>
      </c>
      <c r="G45" s="13" t="n">
        <f aca="false">E45-F45</f>
        <v>70.6</v>
      </c>
      <c r="H45" s="13" t="n">
        <f aca="false">MAX(G45,0)</f>
        <v>70.6</v>
      </c>
      <c r="I45" s="13" t="n">
        <f aca="false">MAX(-G45,0)</f>
        <v>0</v>
      </c>
      <c r="J45" s="10" t="s">
        <v>69</v>
      </c>
    </row>
    <row r="46" customFormat="false" ht="15" hidden="false" customHeight="false" outlineLevel="0" collapsed="false">
      <c r="A46" s="10" t="n">
        <v>2</v>
      </c>
      <c r="B46" s="10" t="s">
        <v>89</v>
      </c>
      <c r="C46" s="10" t="n">
        <v>20</v>
      </c>
      <c r="D46" s="10" t="s">
        <v>85</v>
      </c>
      <c r="E46" s="11" t="n">
        <v>51.3</v>
      </c>
      <c r="F46" s="12" t="n">
        <v>0</v>
      </c>
      <c r="G46" s="13" t="n">
        <f aca="false">E46-F46</f>
        <v>51.3</v>
      </c>
      <c r="H46" s="13" t="n">
        <f aca="false">MAX(G46,0)</f>
        <v>51.3</v>
      </c>
      <c r="I46" s="13" t="n">
        <f aca="false">MAX(-G46,0)</f>
        <v>0</v>
      </c>
      <c r="J46" s="10" t="s">
        <v>69</v>
      </c>
    </row>
    <row r="47" customFormat="false" ht="15" hidden="false" customHeight="false" outlineLevel="0" collapsed="false">
      <c r="A47" s="10" t="n">
        <v>2</v>
      </c>
      <c r="B47" s="10" t="s">
        <v>89</v>
      </c>
      <c r="C47" s="10" t="n">
        <v>21</v>
      </c>
      <c r="D47" s="10" t="s">
        <v>86</v>
      </c>
      <c r="E47" s="11" t="n">
        <v>55.7</v>
      </c>
      <c r="F47" s="12" t="n">
        <v>0</v>
      </c>
      <c r="G47" s="13" t="n">
        <f aca="false">E47-F47</f>
        <v>55.7</v>
      </c>
      <c r="H47" s="13" t="n">
        <f aca="false">MAX(G47,0)</f>
        <v>55.7</v>
      </c>
      <c r="I47" s="13" t="n">
        <f aca="false">MAX(-G47,0)</f>
        <v>0</v>
      </c>
      <c r="J47" s="10" t="s">
        <v>69</v>
      </c>
    </row>
    <row r="48" customFormat="false" ht="15" hidden="false" customHeight="false" outlineLevel="0" collapsed="false">
      <c r="A48" s="10" t="n">
        <v>2</v>
      </c>
      <c r="B48" s="10" t="s">
        <v>89</v>
      </c>
      <c r="C48" s="10" t="n">
        <v>22</v>
      </c>
      <c r="D48" s="10" t="s">
        <v>87</v>
      </c>
      <c r="E48" s="11" t="n">
        <v>43.3</v>
      </c>
      <c r="F48" s="12" t="n">
        <v>0</v>
      </c>
      <c r="G48" s="13" t="n">
        <f aca="false">E48-F48</f>
        <v>43.3</v>
      </c>
      <c r="H48" s="13" t="n">
        <f aca="false">MAX(G48,0)</f>
        <v>43.3</v>
      </c>
      <c r="I48" s="13" t="n">
        <f aca="false">MAX(-G48,0)</f>
        <v>0</v>
      </c>
      <c r="J48" s="10" t="s">
        <v>62</v>
      </c>
    </row>
    <row r="49" customFormat="false" ht="15" hidden="false" customHeight="false" outlineLevel="0" collapsed="false">
      <c r="A49" s="10" t="n">
        <v>2</v>
      </c>
      <c r="B49" s="10" t="s">
        <v>89</v>
      </c>
      <c r="C49" s="10" t="n">
        <v>23</v>
      </c>
      <c r="D49" s="10" t="s">
        <v>88</v>
      </c>
      <c r="E49" s="11" t="n">
        <v>39.9</v>
      </c>
      <c r="F49" s="12" t="n">
        <v>0</v>
      </c>
      <c r="G49" s="13" t="n">
        <f aca="false">E49-F49</f>
        <v>39.9</v>
      </c>
      <c r="H49" s="13" t="n">
        <f aca="false">MAX(G49,0)</f>
        <v>39.9</v>
      </c>
      <c r="I49" s="13" t="n">
        <f aca="false">MAX(-G49,0)</f>
        <v>0</v>
      </c>
      <c r="J49" s="10" t="s">
        <v>62</v>
      </c>
    </row>
    <row r="50" customFormat="false" ht="15" hidden="false" customHeight="false" outlineLevel="0" collapsed="false">
      <c r="A50" s="10" t="n">
        <v>3</v>
      </c>
      <c r="B50" s="10" t="s">
        <v>90</v>
      </c>
      <c r="C50" s="10" t="n">
        <v>0</v>
      </c>
      <c r="D50" s="10" t="s">
        <v>61</v>
      </c>
      <c r="E50" s="11" t="n">
        <v>41.9</v>
      </c>
      <c r="F50" s="12" t="n">
        <v>0</v>
      </c>
      <c r="G50" s="13" t="n">
        <f aca="false">E50-F50</f>
        <v>41.9</v>
      </c>
      <c r="H50" s="13" t="n">
        <f aca="false">MAX(G50,0)</f>
        <v>41.9</v>
      </c>
      <c r="I50" s="13" t="n">
        <f aca="false">MAX(-G50,0)</f>
        <v>0</v>
      </c>
      <c r="J50" s="10" t="s">
        <v>62</v>
      </c>
    </row>
    <row r="51" customFormat="false" ht="15" hidden="false" customHeight="false" outlineLevel="0" collapsed="false">
      <c r="A51" s="10" t="n">
        <v>3</v>
      </c>
      <c r="B51" s="10" t="s">
        <v>90</v>
      </c>
      <c r="C51" s="10" t="n">
        <v>1</v>
      </c>
      <c r="D51" s="10" t="s">
        <v>63</v>
      </c>
      <c r="E51" s="11" t="n">
        <v>40.4</v>
      </c>
      <c r="F51" s="12" t="n">
        <v>0</v>
      </c>
      <c r="G51" s="13" t="n">
        <f aca="false">E51-F51</f>
        <v>40.4</v>
      </c>
      <c r="H51" s="13" t="n">
        <f aca="false">MAX(G51,0)</f>
        <v>40.4</v>
      </c>
      <c r="I51" s="13" t="n">
        <f aca="false">MAX(-G51,0)</f>
        <v>0</v>
      </c>
      <c r="J51" s="10" t="s">
        <v>62</v>
      </c>
    </row>
    <row r="52" customFormat="false" ht="15" hidden="false" customHeight="false" outlineLevel="0" collapsed="false">
      <c r="A52" s="10" t="n">
        <v>3</v>
      </c>
      <c r="B52" s="10" t="s">
        <v>90</v>
      </c>
      <c r="C52" s="10" t="n">
        <v>2</v>
      </c>
      <c r="D52" s="10" t="s">
        <v>64</v>
      </c>
      <c r="E52" s="11" t="n">
        <v>43.5</v>
      </c>
      <c r="F52" s="12" t="n">
        <v>0</v>
      </c>
      <c r="G52" s="13" t="n">
        <f aca="false">E52-F52</f>
        <v>43.5</v>
      </c>
      <c r="H52" s="13" t="n">
        <f aca="false">MAX(G52,0)</f>
        <v>43.5</v>
      </c>
      <c r="I52" s="13" t="n">
        <f aca="false">MAX(-G52,0)</f>
        <v>0</v>
      </c>
      <c r="J52" s="10" t="s">
        <v>62</v>
      </c>
    </row>
    <row r="53" customFormat="false" ht="15" hidden="false" customHeight="false" outlineLevel="0" collapsed="false">
      <c r="A53" s="10" t="n">
        <v>3</v>
      </c>
      <c r="B53" s="10" t="s">
        <v>90</v>
      </c>
      <c r="C53" s="10" t="n">
        <v>3</v>
      </c>
      <c r="D53" s="10" t="s">
        <v>65</v>
      </c>
      <c r="E53" s="11" t="n">
        <v>40.8</v>
      </c>
      <c r="F53" s="12" t="n">
        <v>0</v>
      </c>
      <c r="G53" s="13" t="n">
        <f aca="false">E53-F53</f>
        <v>40.8</v>
      </c>
      <c r="H53" s="13" t="n">
        <f aca="false">MAX(G53,0)</f>
        <v>40.8</v>
      </c>
      <c r="I53" s="13" t="n">
        <f aca="false">MAX(-G53,0)</f>
        <v>0</v>
      </c>
      <c r="J53" s="10" t="s">
        <v>62</v>
      </c>
    </row>
    <row r="54" customFormat="false" ht="15" hidden="false" customHeight="false" outlineLevel="0" collapsed="false">
      <c r="A54" s="10" t="n">
        <v>3</v>
      </c>
      <c r="B54" s="10" t="s">
        <v>90</v>
      </c>
      <c r="C54" s="10" t="n">
        <v>4</v>
      </c>
      <c r="D54" s="10" t="s">
        <v>66</v>
      </c>
      <c r="E54" s="11" t="n">
        <v>39.6</v>
      </c>
      <c r="F54" s="12" t="n">
        <v>0</v>
      </c>
      <c r="G54" s="13" t="n">
        <f aca="false">E54-F54</f>
        <v>39.6</v>
      </c>
      <c r="H54" s="13" t="n">
        <f aca="false">MAX(G54,0)</f>
        <v>39.6</v>
      </c>
      <c r="I54" s="13" t="n">
        <f aca="false">MAX(-G54,0)</f>
        <v>0</v>
      </c>
      <c r="J54" s="10" t="s">
        <v>62</v>
      </c>
    </row>
    <row r="55" customFormat="false" ht="15" hidden="false" customHeight="false" outlineLevel="0" collapsed="false">
      <c r="A55" s="10" t="n">
        <v>3</v>
      </c>
      <c r="B55" s="10" t="s">
        <v>90</v>
      </c>
      <c r="C55" s="10" t="n">
        <v>5</v>
      </c>
      <c r="D55" s="10" t="s">
        <v>67</v>
      </c>
      <c r="E55" s="11" t="n">
        <v>56.5</v>
      </c>
      <c r="F55" s="12" t="n">
        <v>0</v>
      </c>
      <c r="G55" s="13" t="n">
        <f aca="false">E55-F55</f>
        <v>56.5</v>
      </c>
      <c r="H55" s="13" t="n">
        <f aca="false">MAX(G55,0)</f>
        <v>56.5</v>
      </c>
      <c r="I55" s="13" t="n">
        <f aca="false">MAX(-G55,0)</f>
        <v>0</v>
      </c>
      <c r="J55" s="10" t="s">
        <v>62</v>
      </c>
    </row>
    <row r="56" customFormat="false" ht="15" hidden="false" customHeight="false" outlineLevel="0" collapsed="false">
      <c r="A56" s="10" t="n">
        <v>3</v>
      </c>
      <c r="B56" s="10" t="s">
        <v>90</v>
      </c>
      <c r="C56" s="10" t="n">
        <v>6</v>
      </c>
      <c r="D56" s="10" t="s">
        <v>68</v>
      </c>
      <c r="E56" s="11" t="n">
        <v>70.4</v>
      </c>
      <c r="F56" s="14" t="n">
        <v>17.5</v>
      </c>
      <c r="G56" s="13" t="n">
        <f aca="false">E56-F56</f>
        <v>52.9</v>
      </c>
      <c r="H56" s="13" t="n">
        <f aca="false">MAX(G56,0)</f>
        <v>52.9</v>
      </c>
      <c r="I56" s="13" t="n">
        <f aca="false">MAX(-G56,0)</f>
        <v>0</v>
      </c>
      <c r="J56" s="10" t="s">
        <v>69</v>
      </c>
    </row>
    <row r="57" customFormat="false" ht="15" hidden="false" customHeight="false" outlineLevel="0" collapsed="false">
      <c r="A57" s="10" t="n">
        <v>3</v>
      </c>
      <c r="B57" s="10" t="s">
        <v>90</v>
      </c>
      <c r="C57" s="10" t="n">
        <v>7</v>
      </c>
      <c r="D57" s="10" t="s">
        <v>70</v>
      </c>
      <c r="E57" s="11" t="n">
        <v>86.5</v>
      </c>
      <c r="F57" s="14" t="n">
        <v>36.3</v>
      </c>
      <c r="G57" s="13" t="n">
        <f aca="false">E57-F57</f>
        <v>50.2</v>
      </c>
      <c r="H57" s="13" t="n">
        <f aca="false">MAX(G57,0)</f>
        <v>50.2</v>
      </c>
      <c r="I57" s="13" t="n">
        <f aca="false">MAX(-G57,0)</f>
        <v>0</v>
      </c>
      <c r="J57" s="10" t="s">
        <v>69</v>
      </c>
    </row>
    <row r="58" customFormat="false" ht="15" hidden="false" customHeight="false" outlineLevel="0" collapsed="false">
      <c r="A58" s="10" t="n">
        <v>3</v>
      </c>
      <c r="B58" s="10" t="s">
        <v>90</v>
      </c>
      <c r="C58" s="10" t="n">
        <v>8</v>
      </c>
      <c r="D58" s="10" t="s">
        <v>71</v>
      </c>
      <c r="E58" s="11" t="n">
        <v>90.1</v>
      </c>
      <c r="F58" s="14" t="n">
        <v>49.2</v>
      </c>
      <c r="G58" s="13" t="n">
        <f aca="false">E58-F58</f>
        <v>40.9</v>
      </c>
      <c r="H58" s="13" t="n">
        <f aca="false">MAX(G58,0)</f>
        <v>40.9</v>
      </c>
      <c r="I58" s="13" t="n">
        <f aca="false">MAX(-G58,0)</f>
        <v>0</v>
      </c>
      <c r="J58" s="10" t="s">
        <v>69</v>
      </c>
    </row>
    <row r="59" customFormat="false" ht="15" hidden="false" customHeight="false" outlineLevel="0" collapsed="false">
      <c r="A59" s="10" t="n">
        <v>3</v>
      </c>
      <c r="B59" s="10" t="s">
        <v>90</v>
      </c>
      <c r="C59" s="10" t="n">
        <v>9</v>
      </c>
      <c r="D59" s="10" t="s">
        <v>72</v>
      </c>
      <c r="E59" s="11" t="n">
        <v>96.6</v>
      </c>
      <c r="F59" s="14" t="n">
        <v>72.5</v>
      </c>
      <c r="G59" s="13" t="n">
        <f aca="false">E59-F59</f>
        <v>24.1</v>
      </c>
      <c r="H59" s="13" t="n">
        <f aca="false">MAX(G59,0)</f>
        <v>24.1</v>
      </c>
      <c r="I59" s="13" t="n">
        <f aca="false">MAX(-G59,0)</f>
        <v>0</v>
      </c>
      <c r="J59" s="10" t="s">
        <v>69</v>
      </c>
    </row>
    <row r="60" customFormat="false" ht="15" hidden="false" customHeight="false" outlineLevel="0" collapsed="false">
      <c r="A60" s="10" t="n">
        <v>3</v>
      </c>
      <c r="B60" s="10" t="s">
        <v>90</v>
      </c>
      <c r="C60" s="10" t="n">
        <v>10</v>
      </c>
      <c r="D60" s="10" t="s">
        <v>73</v>
      </c>
      <c r="E60" s="11" t="n">
        <v>91.2</v>
      </c>
      <c r="F60" s="14" t="n">
        <v>88.8</v>
      </c>
      <c r="G60" s="13" t="n">
        <f aca="false">E60-F60</f>
        <v>2.40000000000001</v>
      </c>
      <c r="H60" s="13" t="n">
        <f aca="false">MAX(G60,0)</f>
        <v>2.40000000000001</v>
      </c>
      <c r="I60" s="13" t="n">
        <f aca="false">MAX(-G60,0)</f>
        <v>0</v>
      </c>
      <c r="J60" s="10" t="s">
        <v>69</v>
      </c>
    </row>
    <row r="61" customFormat="false" ht="15" hidden="false" customHeight="false" outlineLevel="0" collapsed="false">
      <c r="A61" s="10" t="n">
        <v>3</v>
      </c>
      <c r="B61" s="10" t="s">
        <v>90</v>
      </c>
      <c r="C61" s="10" t="n">
        <v>11</v>
      </c>
      <c r="D61" s="10" t="s">
        <v>75</v>
      </c>
      <c r="E61" s="11" t="n">
        <v>88.4</v>
      </c>
      <c r="F61" s="14" t="n">
        <v>108</v>
      </c>
      <c r="G61" s="13" t="n">
        <f aca="false">E61-F61</f>
        <v>-19.6</v>
      </c>
      <c r="H61" s="13" t="n">
        <f aca="false">MAX(G61,0)</f>
        <v>0</v>
      </c>
      <c r="I61" s="13" t="n">
        <f aca="false">MAX(-G61,0)</f>
        <v>19.6</v>
      </c>
      <c r="J61" s="10" t="s">
        <v>74</v>
      </c>
    </row>
    <row r="62" customFormat="false" ht="15" hidden="false" customHeight="false" outlineLevel="0" collapsed="false">
      <c r="A62" s="10" t="n">
        <v>3</v>
      </c>
      <c r="B62" s="10" t="s">
        <v>90</v>
      </c>
      <c r="C62" s="10" t="n">
        <v>12</v>
      </c>
      <c r="D62" s="10" t="s">
        <v>76</v>
      </c>
      <c r="E62" s="11" t="n">
        <v>77.8</v>
      </c>
      <c r="F62" s="14" t="n">
        <v>111.7</v>
      </c>
      <c r="G62" s="13" t="n">
        <f aca="false">E62-F62</f>
        <v>-33.9</v>
      </c>
      <c r="H62" s="13" t="n">
        <f aca="false">MAX(G62,0)</f>
        <v>0</v>
      </c>
      <c r="I62" s="13" t="n">
        <f aca="false">MAX(-G62,0)</f>
        <v>33.9</v>
      </c>
      <c r="J62" s="10" t="s">
        <v>77</v>
      </c>
    </row>
    <row r="63" customFormat="false" ht="15" hidden="false" customHeight="false" outlineLevel="0" collapsed="false">
      <c r="A63" s="10" t="n">
        <v>3</v>
      </c>
      <c r="B63" s="10" t="s">
        <v>90</v>
      </c>
      <c r="C63" s="10" t="n">
        <v>13</v>
      </c>
      <c r="D63" s="10" t="s">
        <v>78</v>
      </c>
      <c r="E63" s="11" t="n">
        <v>85.4</v>
      </c>
      <c r="F63" s="14" t="n">
        <v>106</v>
      </c>
      <c r="G63" s="13" t="n">
        <f aca="false">E63-F63</f>
        <v>-20.6</v>
      </c>
      <c r="H63" s="13" t="n">
        <f aca="false">MAX(G63,0)</f>
        <v>0</v>
      </c>
      <c r="I63" s="13" t="n">
        <f aca="false">MAX(-G63,0)</f>
        <v>20.6</v>
      </c>
      <c r="J63" s="10" t="s">
        <v>74</v>
      </c>
    </row>
    <row r="64" customFormat="false" ht="15" hidden="false" customHeight="false" outlineLevel="0" collapsed="false">
      <c r="A64" s="10" t="n">
        <v>3</v>
      </c>
      <c r="B64" s="10" t="s">
        <v>90</v>
      </c>
      <c r="C64" s="10" t="n">
        <v>14</v>
      </c>
      <c r="D64" s="10" t="s">
        <v>79</v>
      </c>
      <c r="E64" s="11" t="n">
        <v>94.5</v>
      </c>
      <c r="F64" s="14" t="n">
        <v>92.6</v>
      </c>
      <c r="G64" s="13" t="n">
        <f aca="false">E64-F64</f>
        <v>1.90000000000001</v>
      </c>
      <c r="H64" s="13" t="n">
        <f aca="false">MAX(G64,0)</f>
        <v>1.90000000000001</v>
      </c>
      <c r="I64" s="13" t="n">
        <f aca="false">MAX(-G64,0)</f>
        <v>0</v>
      </c>
      <c r="J64" s="10" t="s">
        <v>69</v>
      </c>
    </row>
    <row r="65" customFormat="false" ht="15" hidden="false" customHeight="false" outlineLevel="0" collapsed="false">
      <c r="A65" s="10" t="n">
        <v>3</v>
      </c>
      <c r="B65" s="10" t="s">
        <v>90</v>
      </c>
      <c r="C65" s="10" t="n">
        <v>15</v>
      </c>
      <c r="D65" s="10" t="s">
        <v>80</v>
      </c>
      <c r="E65" s="11" t="n">
        <v>96.5</v>
      </c>
      <c r="F65" s="14" t="n">
        <v>75.3</v>
      </c>
      <c r="G65" s="13" t="n">
        <f aca="false">E65-F65</f>
        <v>21.2</v>
      </c>
      <c r="H65" s="13" t="n">
        <f aca="false">MAX(G65,0)</f>
        <v>21.2</v>
      </c>
      <c r="I65" s="13" t="n">
        <f aca="false">MAX(-G65,0)</f>
        <v>0</v>
      </c>
      <c r="J65" s="10" t="s">
        <v>69</v>
      </c>
    </row>
    <row r="66" customFormat="false" ht="15" hidden="false" customHeight="false" outlineLevel="0" collapsed="false">
      <c r="A66" s="10" t="n">
        <v>3</v>
      </c>
      <c r="B66" s="10" t="s">
        <v>90</v>
      </c>
      <c r="C66" s="10" t="n">
        <v>16</v>
      </c>
      <c r="D66" s="10" t="s">
        <v>81</v>
      </c>
      <c r="E66" s="11" t="n">
        <v>90.8</v>
      </c>
      <c r="F66" s="14" t="n">
        <v>53.2</v>
      </c>
      <c r="G66" s="13" t="n">
        <f aca="false">E66-F66</f>
        <v>37.6</v>
      </c>
      <c r="H66" s="13" t="n">
        <f aca="false">MAX(G66,0)</f>
        <v>37.6</v>
      </c>
      <c r="I66" s="13" t="n">
        <f aca="false">MAX(-G66,0)</f>
        <v>0</v>
      </c>
      <c r="J66" s="10" t="s">
        <v>69</v>
      </c>
    </row>
    <row r="67" customFormat="false" ht="15" hidden="false" customHeight="false" outlineLevel="0" collapsed="false">
      <c r="A67" s="10" t="n">
        <v>3</v>
      </c>
      <c r="B67" s="10" t="s">
        <v>90</v>
      </c>
      <c r="C67" s="10" t="n">
        <v>17</v>
      </c>
      <c r="D67" s="10" t="s">
        <v>82</v>
      </c>
      <c r="E67" s="11" t="n">
        <v>92.6</v>
      </c>
      <c r="F67" s="14" t="n">
        <v>33.4</v>
      </c>
      <c r="G67" s="13" t="n">
        <f aca="false">E67-F67</f>
        <v>59.2</v>
      </c>
      <c r="H67" s="13" t="n">
        <f aca="false">MAX(G67,0)</f>
        <v>59.2</v>
      </c>
      <c r="I67" s="13" t="n">
        <f aca="false">MAX(-G67,0)</f>
        <v>0</v>
      </c>
      <c r="J67" s="10" t="s">
        <v>69</v>
      </c>
    </row>
    <row r="68" customFormat="false" ht="15" hidden="false" customHeight="false" outlineLevel="0" collapsed="false">
      <c r="A68" s="10" t="n">
        <v>3</v>
      </c>
      <c r="B68" s="10" t="s">
        <v>90</v>
      </c>
      <c r="C68" s="10" t="n">
        <v>18</v>
      </c>
      <c r="D68" s="10" t="s">
        <v>83</v>
      </c>
      <c r="E68" s="11" t="n">
        <v>74.6</v>
      </c>
      <c r="F68" s="14" t="n">
        <v>20.5</v>
      </c>
      <c r="G68" s="13" t="n">
        <f aca="false">E68-F68</f>
        <v>54.1</v>
      </c>
      <c r="H68" s="13" t="n">
        <f aca="false">MAX(G68,0)</f>
        <v>54.1</v>
      </c>
      <c r="I68" s="13" t="n">
        <f aca="false">MAX(-G68,0)</f>
        <v>0</v>
      </c>
      <c r="J68" s="10" t="s">
        <v>69</v>
      </c>
    </row>
    <row r="69" customFormat="false" ht="15" hidden="false" customHeight="false" outlineLevel="0" collapsed="false">
      <c r="A69" s="10" t="n">
        <v>3</v>
      </c>
      <c r="B69" s="10" t="s">
        <v>90</v>
      </c>
      <c r="C69" s="10" t="n">
        <v>19</v>
      </c>
      <c r="D69" s="10" t="s">
        <v>84</v>
      </c>
      <c r="E69" s="11" t="n">
        <v>69.7</v>
      </c>
      <c r="F69" s="12" t="n">
        <v>0</v>
      </c>
      <c r="G69" s="13" t="n">
        <f aca="false">E69-F69</f>
        <v>69.7</v>
      </c>
      <c r="H69" s="13" t="n">
        <f aca="false">MAX(G69,0)</f>
        <v>69.7</v>
      </c>
      <c r="I69" s="13" t="n">
        <f aca="false">MAX(-G69,0)</f>
        <v>0</v>
      </c>
      <c r="J69" s="10" t="s">
        <v>69</v>
      </c>
    </row>
    <row r="70" customFormat="false" ht="15" hidden="false" customHeight="false" outlineLevel="0" collapsed="false">
      <c r="A70" s="10" t="n">
        <v>3</v>
      </c>
      <c r="B70" s="10" t="s">
        <v>90</v>
      </c>
      <c r="C70" s="10" t="n">
        <v>20</v>
      </c>
      <c r="D70" s="10" t="s">
        <v>85</v>
      </c>
      <c r="E70" s="11" t="n">
        <v>52.6</v>
      </c>
      <c r="F70" s="12" t="n">
        <v>0</v>
      </c>
      <c r="G70" s="13" t="n">
        <f aca="false">E70-F70</f>
        <v>52.6</v>
      </c>
      <c r="H70" s="13" t="n">
        <f aca="false">MAX(G70,0)</f>
        <v>52.6</v>
      </c>
      <c r="I70" s="13" t="n">
        <f aca="false">MAX(-G70,0)</f>
        <v>0</v>
      </c>
      <c r="J70" s="10" t="s">
        <v>69</v>
      </c>
    </row>
    <row r="71" customFormat="false" ht="15" hidden="false" customHeight="false" outlineLevel="0" collapsed="false">
      <c r="A71" s="10" t="n">
        <v>3</v>
      </c>
      <c r="B71" s="10" t="s">
        <v>90</v>
      </c>
      <c r="C71" s="10" t="n">
        <v>21</v>
      </c>
      <c r="D71" s="10" t="s">
        <v>86</v>
      </c>
      <c r="E71" s="11" t="n">
        <v>52.7</v>
      </c>
      <c r="F71" s="12" t="n">
        <v>0</v>
      </c>
      <c r="G71" s="13" t="n">
        <f aca="false">E71-F71</f>
        <v>52.7</v>
      </c>
      <c r="H71" s="13" t="n">
        <f aca="false">MAX(G71,0)</f>
        <v>52.7</v>
      </c>
      <c r="I71" s="13" t="n">
        <f aca="false">MAX(-G71,0)</f>
        <v>0</v>
      </c>
      <c r="J71" s="10" t="s">
        <v>69</v>
      </c>
    </row>
    <row r="72" customFormat="false" ht="15" hidden="false" customHeight="false" outlineLevel="0" collapsed="false">
      <c r="A72" s="10" t="n">
        <v>3</v>
      </c>
      <c r="B72" s="10" t="s">
        <v>90</v>
      </c>
      <c r="C72" s="10" t="n">
        <v>22</v>
      </c>
      <c r="D72" s="10" t="s">
        <v>87</v>
      </c>
      <c r="E72" s="11" t="n">
        <v>43.7</v>
      </c>
      <c r="F72" s="12" t="n">
        <v>0</v>
      </c>
      <c r="G72" s="13" t="n">
        <f aca="false">E72-F72</f>
        <v>43.7</v>
      </c>
      <c r="H72" s="13" t="n">
        <f aca="false">MAX(G72,0)</f>
        <v>43.7</v>
      </c>
      <c r="I72" s="13" t="n">
        <f aca="false">MAX(-G72,0)</f>
        <v>0</v>
      </c>
      <c r="J72" s="10" t="s">
        <v>62</v>
      </c>
    </row>
    <row r="73" customFormat="false" ht="15" hidden="false" customHeight="false" outlineLevel="0" collapsed="false">
      <c r="A73" s="10" t="n">
        <v>3</v>
      </c>
      <c r="B73" s="10" t="s">
        <v>90</v>
      </c>
      <c r="C73" s="10" t="n">
        <v>23</v>
      </c>
      <c r="D73" s="10" t="s">
        <v>88</v>
      </c>
      <c r="E73" s="11" t="n">
        <v>43.3</v>
      </c>
      <c r="F73" s="12" t="n">
        <v>0</v>
      </c>
      <c r="G73" s="13" t="n">
        <f aca="false">E73-F73</f>
        <v>43.3</v>
      </c>
      <c r="H73" s="13" t="n">
        <f aca="false">MAX(G73,0)</f>
        <v>43.3</v>
      </c>
      <c r="I73" s="13" t="n">
        <f aca="false">MAX(-G73,0)</f>
        <v>0</v>
      </c>
      <c r="J73" s="10" t="s">
        <v>62</v>
      </c>
    </row>
    <row r="74" customFormat="false" ht="15" hidden="false" customHeight="false" outlineLevel="0" collapsed="false">
      <c r="A74" s="10" t="n">
        <v>4</v>
      </c>
      <c r="B74" s="10" t="s">
        <v>91</v>
      </c>
      <c r="C74" s="10" t="n">
        <v>0</v>
      </c>
      <c r="D74" s="10" t="s">
        <v>61</v>
      </c>
      <c r="E74" s="11" t="n">
        <v>39.6</v>
      </c>
      <c r="F74" s="12" t="n">
        <v>0</v>
      </c>
      <c r="G74" s="13" t="n">
        <f aca="false">E74-F74</f>
        <v>39.6</v>
      </c>
      <c r="H74" s="13" t="n">
        <f aca="false">MAX(G74,0)</f>
        <v>39.6</v>
      </c>
      <c r="I74" s="13" t="n">
        <f aca="false">MAX(-G74,0)</f>
        <v>0</v>
      </c>
      <c r="J74" s="10" t="s">
        <v>62</v>
      </c>
    </row>
    <row r="75" customFormat="false" ht="15" hidden="false" customHeight="false" outlineLevel="0" collapsed="false">
      <c r="A75" s="10" t="n">
        <v>4</v>
      </c>
      <c r="B75" s="10" t="s">
        <v>91</v>
      </c>
      <c r="C75" s="10" t="n">
        <v>1</v>
      </c>
      <c r="D75" s="10" t="s">
        <v>63</v>
      </c>
      <c r="E75" s="11" t="n">
        <v>41</v>
      </c>
      <c r="F75" s="12" t="n">
        <v>0</v>
      </c>
      <c r="G75" s="13" t="n">
        <f aca="false">E75-F75</f>
        <v>41</v>
      </c>
      <c r="H75" s="13" t="n">
        <f aca="false">MAX(G75,0)</f>
        <v>41</v>
      </c>
      <c r="I75" s="13" t="n">
        <f aca="false">MAX(-G75,0)</f>
        <v>0</v>
      </c>
      <c r="J75" s="10" t="s">
        <v>62</v>
      </c>
    </row>
    <row r="76" customFormat="false" ht="15" hidden="false" customHeight="false" outlineLevel="0" collapsed="false">
      <c r="A76" s="10" t="n">
        <v>4</v>
      </c>
      <c r="B76" s="10" t="s">
        <v>91</v>
      </c>
      <c r="C76" s="10" t="n">
        <v>2</v>
      </c>
      <c r="D76" s="10" t="s">
        <v>64</v>
      </c>
      <c r="E76" s="11" t="n">
        <v>39.1</v>
      </c>
      <c r="F76" s="12" t="n">
        <v>0</v>
      </c>
      <c r="G76" s="13" t="n">
        <f aca="false">E76-F76</f>
        <v>39.1</v>
      </c>
      <c r="H76" s="13" t="n">
        <f aca="false">MAX(G76,0)</f>
        <v>39.1</v>
      </c>
      <c r="I76" s="13" t="n">
        <f aca="false">MAX(-G76,0)</f>
        <v>0</v>
      </c>
      <c r="J76" s="10" t="s">
        <v>62</v>
      </c>
    </row>
    <row r="77" customFormat="false" ht="15" hidden="false" customHeight="false" outlineLevel="0" collapsed="false">
      <c r="A77" s="10" t="n">
        <v>4</v>
      </c>
      <c r="B77" s="10" t="s">
        <v>91</v>
      </c>
      <c r="C77" s="10" t="n">
        <v>3</v>
      </c>
      <c r="D77" s="10" t="s">
        <v>65</v>
      </c>
      <c r="E77" s="11" t="n">
        <v>43.5</v>
      </c>
      <c r="F77" s="12" t="n">
        <v>0</v>
      </c>
      <c r="G77" s="13" t="n">
        <f aca="false">E77-F77</f>
        <v>43.5</v>
      </c>
      <c r="H77" s="13" t="n">
        <f aca="false">MAX(G77,0)</f>
        <v>43.5</v>
      </c>
      <c r="I77" s="13" t="n">
        <f aca="false">MAX(-G77,0)</f>
        <v>0</v>
      </c>
      <c r="J77" s="10" t="s">
        <v>62</v>
      </c>
    </row>
    <row r="78" customFormat="false" ht="15" hidden="false" customHeight="false" outlineLevel="0" collapsed="false">
      <c r="A78" s="10" t="n">
        <v>4</v>
      </c>
      <c r="B78" s="10" t="s">
        <v>91</v>
      </c>
      <c r="C78" s="10" t="n">
        <v>4</v>
      </c>
      <c r="D78" s="10" t="s">
        <v>66</v>
      </c>
      <c r="E78" s="11" t="n">
        <v>43.2</v>
      </c>
      <c r="F78" s="12" t="n">
        <v>0</v>
      </c>
      <c r="G78" s="13" t="n">
        <f aca="false">E78-F78</f>
        <v>43.2</v>
      </c>
      <c r="H78" s="13" t="n">
        <f aca="false">MAX(G78,0)</f>
        <v>43.2</v>
      </c>
      <c r="I78" s="13" t="n">
        <f aca="false">MAX(-G78,0)</f>
        <v>0</v>
      </c>
      <c r="J78" s="10" t="s">
        <v>62</v>
      </c>
    </row>
    <row r="79" customFormat="false" ht="15" hidden="false" customHeight="false" outlineLevel="0" collapsed="false">
      <c r="A79" s="10" t="n">
        <v>4</v>
      </c>
      <c r="B79" s="10" t="s">
        <v>91</v>
      </c>
      <c r="C79" s="10" t="n">
        <v>5</v>
      </c>
      <c r="D79" s="10" t="s">
        <v>67</v>
      </c>
      <c r="E79" s="11" t="n">
        <v>56.8</v>
      </c>
      <c r="F79" s="12" t="n">
        <v>0</v>
      </c>
      <c r="G79" s="13" t="n">
        <f aca="false">E79-F79</f>
        <v>56.8</v>
      </c>
      <c r="H79" s="13" t="n">
        <f aca="false">MAX(G79,0)</f>
        <v>56.8</v>
      </c>
      <c r="I79" s="13" t="n">
        <f aca="false">MAX(-G79,0)</f>
        <v>0</v>
      </c>
      <c r="J79" s="10" t="s">
        <v>62</v>
      </c>
    </row>
    <row r="80" customFormat="false" ht="15" hidden="false" customHeight="false" outlineLevel="0" collapsed="false">
      <c r="A80" s="10" t="n">
        <v>4</v>
      </c>
      <c r="B80" s="10" t="s">
        <v>91</v>
      </c>
      <c r="C80" s="10" t="n">
        <v>6</v>
      </c>
      <c r="D80" s="10" t="s">
        <v>68</v>
      </c>
      <c r="E80" s="11" t="n">
        <v>70.8</v>
      </c>
      <c r="F80" s="14" t="n">
        <v>25.1</v>
      </c>
      <c r="G80" s="13" t="n">
        <f aca="false">E80-F80</f>
        <v>45.7</v>
      </c>
      <c r="H80" s="13" t="n">
        <f aca="false">MAX(G80,0)</f>
        <v>45.7</v>
      </c>
      <c r="I80" s="13" t="n">
        <f aca="false">MAX(-G80,0)</f>
        <v>0</v>
      </c>
      <c r="J80" s="10" t="s">
        <v>69</v>
      </c>
    </row>
    <row r="81" customFormat="false" ht="15" hidden="false" customHeight="false" outlineLevel="0" collapsed="false">
      <c r="A81" s="10" t="n">
        <v>4</v>
      </c>
      <c r="B81" s="10" t="s">
        <v>91</v>
      </c>
      <c r="C81" s="10" t="n">
        <v>7</v>
      </c>
      <c r="D81" s="10" t="s">
        <v>70</v>
      </c>
      <c r="E81" s="11" t="n">
        <v>83.9</v>
      </c>
      <c r="F81" s="14" t="n">
        <v>43.5</v>
      </c>
      <c r="G81" s="13" t="n">
        <f aca="false">E81-F81</f>
        <v>40.4</v>
      </c>
      <c r="H81" s="13" t="n">
        <f aca="false">MAX(G81,0)</f>
        <v>40.4</v>
      </c>
      <c r="I81" s="13" t="n">
        <f aca="false">MAX(-G81,0)</f>
        <v>0</v>
      </c>
      <c r="J81" s="10" t="s">
        <v>69</v>
      </c>
    </row>
    <row r="82" customFormat="false" ht="15" hidden="false" customHeight="false" outlineLevel="0" collapsed="false">
      <c r="A82" s="10" t="n">
        <v>4</v>
      </c>
      <c r="B82" s="10" t="s">
        <v>91</v>
      </c>
      <c r="C82" s="10" t="n">
        <v>8</v>
      </c>
      <c r="D82" s="10" t="s">
        <v>71</v>
      </c>
      <c r="E82" s="11" t="n">
        <v>90.9</v>
      </c>
      <c r="F82" s="14" t="n">
        <v>66.5</v>
      </c>
      <c r="G82" s="13" t="n">
        <f aca="false">E82-F82</f>
        <v>24.4</v>
      </c>
      <c r="H82" s="13" t="n">
        <f aca="false">MAX(G82,0)</f>
        <v>24.4</v>
      </c>
      <c r="I82" s="13" t="n">
        <f aca="false">MAX(-G82,0)</f>
        <v>0</v>
      </c>
      <c r="J82" s="10" t="s">
        <v>69</v>
      </c>
    </row>
    <row r="83" customFormat="false" ht="15" hidden="false" customHeight="false" outlineLevel="0" collapsed="false">
      <c r="A83" s="10" t="n">
        <v>4</v>
      </c>
      <c r="B83" s="10" t="s">
        <v>91</v>
      </c>
      <c r="C83" s="10" t="n">
        <v>9</v>
      </c>
      <c r="D83" s="10" t="s">
        <v>72</v>
      </c>
      <c r="E83" s="11" t="n">
        <v>93.8</v>
      </c>
      <c r="F83" s="14" t="n">
        <v>86.5</v>
      </c>
      <c r="G83" s="13" t="n">
        <f aca="false">E83-F83</f>
        <v>7.3</v>
      </c>
      <c r="H83" s="13" t="n">
        <f aca="false">MAX(G83,0)</f>
        <v>7.3</v>
      </c>
      <c r="I83" s="13" t="n">
        <f aca="false">MAX(-G83,0)</f>
        <v>0</v>
      </c>
      <c r="J83" s="10" t="s">
        <v>69</v>
      </c>
    </row>
    <row r="84" customFormat="false" ht="15" hidden="false" customHeight="false" outlineLevel="0" collapsed="false">
      <c r="A84" s="10" t="n">
        <v>4</v>
      </c>
      <c r="B84" s="10" t="s">
        <v>91</v>
      </c>
      <c r="C84" s="10" t="n">
        <v>10</v>
      </c>
      <c r="D84" s="10" t="s">
        <v>73</v>
      </c>
      <c r="E84" s="11" t="n">
        <v>92.6</v>
      </c>
      <c r="F84" s="14" t="n">
        <v>111.6</v>
      </c>
      <c r="G84" s="13" t="n">
        <f aca="false">E84-F84</f>
        <v>-19</v>
      </c>
      <c r="H84" s="13" t="n">
        <f aca="false">MAX(G84,0)</f>
        <v>0</v>
      </c>
      <c r="I84" s="13" t="n">
        <f aca="false">MAX(-G84,0)</f>
        <v>19</v>
      </c>
      <c r="J84" s="10" t="s">
        <v>74</v>
      </c>
    </row>
    <row r="85" customFormat="false" ht="15" hidden="false" customHeight="false" outlineLevel="0" collapsed="false">
      <c r="A85" s="10" t="n">
        <v>4</v>
      </c>
      <c r="B85" s="10" t="s">
        <v>91</v>
      </c>
      <c r="C85" s="10" t="n">
        <v>11</v>
      </c>
      <c r="D85" s="10" t="s">
        <v>75</v>
      </c>
      <c r="E85" s="11" t="n">
        <v>93.3</v>
      </c>
      <c r="F85" s="14" t="n">
        <v>136.7</v>
      </c>
      <c r="G85" s="13" t="n">
        <f aca="false">E85-F85</f>
        <v>-43.4</v>
      </c>
      <c r="H85" s="13" t="n">
        <f aca="false">MAX(G85,0)</f>
        <v>0</v>
      </c>
      <c r="I85" s="13" t="n">
        <f aca="false">MAX(-G85,0)</f>
        <v>43.4</v>
      </c>
      <c r="J85" s="10" t="s">
        <v>74</v>
      </c>
    </row>
    <row r="86" customFormat="false" ht="15" hidden="false" customHeight="false" outlineLevel="0" collapsed="false">
      <c r="A86" s="10" t="n">
        <v>4</v>
      </c>
      <c r="B86" s="10" t="s">
        <v>91</v>
      </c>
      <c r="C86" s="10" t="n">
        <v>12</v>
      </c>
      <c r="D86" s="10" t="s">
        <v>76</v>
      </c>
      <c r="E86" s="11" t="n">
        <v>78</v>
      </c>
      <c r="F86" s="14" t="n">
        <v>138.9</v>
      </c>
      <c r="G86" s="13" t="n">
        <f aca="false">E86-F86</f>
        <v>-60.9</v>
      </c>
      <c r="H86" s="13" t="n">
        <f aca="false">MAX(G86,0)</f>
        <v>0</v>
      </c>
      <c r="I86" s="13" t="n">
        <f aca="false">MAX(-G86,0)</f>
        <v>60.9</v>
      </c>
      <c r="J86" s="10" t="s">
        <v>77</v>
      </c>
    </row>
    <row r="87" customFormat="false" ht="15" hidden="false" customHeight="false" outlineLevel="0" collapsed="false">
      <c r="A87" s="10" t="n">
        <v>4</v>
      </c>
      <c r="B87" s="10" t="s">
        <v>91</v>
      </c>
      <c r="C87" s="10" t="n">
        <v>13</v>
      </c>
      <c r="D87" s="10" t="s">
        <v>78</v>
      </c>
      <c r="E87" s="11" t="n">
        <v>85.3</v>
      </c>
      <c r="F87" s="14" t="n">
        <v>136.7</v>
      </c>
      <c r="G87" s="13" t="n">
        <f aca="false">E87-F87</f>
        <v>-51.4</v>
      </c>
      <c r="H87" s="13" t="n">
        <f aca="false">MAX(G87,0)</f>
        <v>0</v>
      </c>
      <c r="I87" s="13" t="n">
        <f aca="false">MAX(-G87,0)</f>
        <v>51.4</v>
      </c>
      <c r="J87" s="10" t="s">
        <v>74</v>
      </c>
    </row>
    <row r="88" customFormat="false" ht="15" hidden="false" customHeight="false" outlineLevel="0" collapsed="false">
      <c r="A88" s="10" t="n">
        <v>4</v>
      </c>
      <c r="B88" s="10" t="s">
        <v>91</v>
      </c>
      <c r="C88" s="10" t="n">
        <v>14</v>
      </c>
      <c r="D88" s="10" t="s">
        <v>79</v>
      </c>
      <c r="E88" s="11" t="n">
        <v>94.2</v>
      </c>
      <c r="F88" s="14" t="n">
        <v>112.2</v>
      </c>
      <c r="G88" s="13" t="n">
        <f aca="false">E88-F88</f>
        <v>-18</v>
      </c>
      <c r="H88" s="13" t="n">
        <f aca="false">MAX(G88,0)</f>
        <v>0</v>
      </c>
      <c r="I88" s="13" t="n">
        <f aca="false">MAX(-G88,0)</f>
        <v>18</v>
      </c>
      <c r="J88" s="10" t="s">
        <v>74</v>
      </c>
    </row>
    <row r="89" customFormat="false" ht="15" hidden="false" customHeight="false" outlineLevel="0" collapsed="false">
      <c r="A89" s="10" t="n">
        <v>4</v>
      </c>
      <c r="B89" s="10" t="s">
        <v>91</v>
      </c>
      <c r="C89" s="10" t="n">
        <v>15</v>
      </c>
      <c r="D89" s="10" t="s">
        <v>80</v>
      </c>
      <c r="E89" s="11" t="n">
        <v>93.6</v>
      </c>
      <c r="F89" s="14" t="n">
        <v>87</v>
      </c>
      <c r="G89" s="13" t="n">
        <f aca="false">E89-F89</f>
        <v>6.59999999999999</v>
      </c>
      <c r="H89" s="13" t="n">
        <f aca="false">MAX(G89,0)</f>
        <v>6.59999999999999</v>
      </c>
      <c r="I89" s="13" t="n">
        <f aca="false">MAX(-G89,0)</f>
        <v>0</v>
      </c>
      <c r="J89" s="10" t="s">
        <v>69</v>
      </c>
    </row>
    <row r="90" customFormat="false" ht="15" hidden="false" customHeight="false" outlineLevel="0" collapsed="false">
      <c r="A90" s="10" t="n">
        <v>4</v>
      </c>
      <c r="B90" s="10" t="s">
        <v>91</v>
      </c>
      <c r="C90" s="10" t="n">
        <v>16</v>
      </c>
      <c r="D90" s="10" t="s">
        <v>81</v>
      </c>
      <c r="E90" s="11" t="n">
        <v>95.3</v>
      </c>
      <c r="F90" s="14" t="n">
        <v>66.4</v>
      </c>
      <c r="G90" s="13" t="n">
        <f aca="false">E90-F90</f>
        <v>28.9</v>
      </c>
      <c r="H90" s="13" t="n">
        <f aca="false">MAX(G90,0)</f>
        <v>28.9</v>
      </c>
      <c r="I90" s="13" t="n">
        <f aca="false">MAX(-G90,0)</f>
        <v>0</v>
      </c>
      <c r="J90" s="10" t="s">
        <v>69</v>
      </c>
    </row>
    <row r="91" customFormat="false" ht="15" hidden="false" customHeight="false" outlineLevel="0" collapsed="false">
      <c r="A91" s="10" t="n">
        <v>4</v>
      </c>
      <c r="B91" s="10" t="s">
        <v>91</v>
      </c>
      <c r="C91" s="10" t="n">
        <v>17</v>
      </c>
      <c r="D91" s="10" t="s">
        <v>82</v>
      </c>
      <c r="E91" s="11" t="n">
        <v>89.3</v>
      </c>
      <c r="F91" s="14" t="n">
        <v>41.2</v>
      </c>
      <c r="G91" s="13" t="n">
        <f aca="false">E91-F91</f>
        <v>48.1</v>
      </c>
      <c r="H91" s="13" t="n">
        <f aca="false">MAX(G91,0)</f>
        <v>48.1</v>
      </c>
      <c r="I91" s="13" t="n">
        <f aca="false">MAX(-G91,0)</f>
        <v>0</v>
      </c>
      <c r="J91" s="10" t="s">
        <v>69</v>
      </c>
    </row>
    <row r="92" customFormat="false" ht="15" hidden="false" customHeight="false" outlineLevel="0" collapsed="false">
      <c r="A92" s="10" t="n">
        <v>4</v>
      </c>
      <c r="B92" s="10" t="s">
        <v>91</v>
      </c>
      <c r="C92" s="10" t="n">
        <v>18</v>
      </c>
      <c r="D92" s="10" t="s">
        <v>83</v>
      </c>
      <c r="E92" s="11" t="n">
        <v>76.3</v>
      </c>
      <c r="F92" s="14" t="n">
        <v>22.3</v>
      </c>
      <c r="G92" s="13" t="n">
        <f aca="false">E92-F92</f>
        <v>54</v>
      </c>
      <c r="H92" s="13" t="n">
        <f aca="false">MAX(G92,0)</f>
        <v>54</v>
      </c>
      <c r="I92" s="13" t="n">
        <f aca="false">MAX(-G92,0)</f>
        <v>0</v>
      </c>
      <c r="J92" s="10" t="s">
        <v>69</v>
      </c>
    </row>
    <row r="93" customFormat="false" ht="15" hidden="false" customHeight="false" outlineLevel="0" collapsed="false">
      <c r="A93" s="10" t="n">
        <v>4</v>
      </c>
      <c r="B93" s="10" t="s">
        <v>91</v>
      </c>
      <c r="C93" s="10" t="n">
        <v>19</v>
      </c>
      <c r="D93" s="10" t="s">
        <v>84</v>
      </c>
      <c r="E93" s="11" t="n">
        <v>74.2</v>
      </c>
      <c r="F93" s="12" t="n">
        <v>0</v>
      </c>
      <c r="G93" s="13" t="n">
        <f aca="false">E93-F93</f>
        <v>74.2</v>
      </c>
      <c r="H93" s="13" t="n">
        <f aca="false">MAX(G93,0)</f>
        <v>74.2</v>
      </c>
      <c r="I93" s="13" t="n">
        <f aca="false">MAX(-G93,0)</f>
        <v>0</v>
      </c>
      <c r="J93" s="10" t="s">
        <v>69</v>
      </c>
    </row>
    <row r="94" customFormat="false" ht="15" hidden="false" customHeight="false" outlineLevel="0" collapsed="false">
      <c r="A94" s="10" t="n">
        <v>4</v>
      </c>
      <c r="B94" s="10" t="s">
        <v>91</v>
      </c>
      <c r="C94" s="10" t="n">
        <v>20</v>
      </c>
      <c r="D94" s="10" t="s">
        <v>85</v>
      </c>
      <c r="E94" s="11" t="n">
        <v>52.5</v>
      </c>
      <c r="F94" s="12" t="n">
        <v>0</v>
      </c>
      <c r="G94" s="13" t="n">
        <f aca="false">E94-F94</f>
        <v>52.5</v>
      </c>
      <c r="H94" s="13" t="n">
        <f aca="false">MAX(G94,0)</f>
        <v>52.5</v>
      </c>
      <c r="I94" s="13" t="n">
        <f aca="false">MAX(-G94,0)</f>
        <v>0</v>
      </c>
      <c r="J94" s="10" t="s">
        <v>69</v>
      </c>
    </row>
    <row r="95" customFormat="false" ht="15" hidden="false" customHeight="false" outlineLevel="0" collapsed="false">
      <c r="A95" s="10" t="n">
        <v>4</v>
      </c>
      <c r="B95" s="10" t="s">
        <v>91</v>
      </c>
      <c r="C95" s="10" t="n">
        <v>21</v>
      </c>
      <c r="D95" s="10" t="s">
        <v>86</v>
      </c>
      <c r="E95" s="11" t="n">
        <v>51.3</v>
      </c>
      <c r="F95" s="12" t="n">
        <v>0</v>
      </c>
      <c r="G95" s="13" t="n">
        <f aca="false">E95-F95</f>
        <v>51.3</v>
      </c>
      <c r="H95" s="13" t="n">
        <f aca="false">MAX(G95,0)</f>
        <v>51.3</v>
      </c>
      <c r="I95" s="13" t="n">
        <f aca="false">MAX(-G95,0)</f>
        <v>0</v>
      </c>
      <c r="J95" s="10" t="s">
        <v>69</v>
      </c>
    </row>
    <row r="96" customFormat="false" ht="15" hidden="false" customHeight="false" outlineLevel="0" collapsed="false">
      <c r="A96" s="10" t="n">
        <v>4</v>
      </c>
      <c r="B96" s="10" t="s">
        <v>91</v>
      </c>
      <c r="C96" s="10" t="n">
        <v>22</v>
      </c>
      <c r="D96" s="10" t="s">
        <v>87</v>
      </c>
      <c r="E96" s="11" t="n">
        <v>41.2</v>
      </c>
      <c r="F96" s="12" t="n">
        <v>0</v>
      </c>
      <c r="G96" s="13" t="n">
        <f aca="false">E96-F96</f>
        <v>41.2</v>
      </c>
      <c r="H96" s="13" t="n">
        <f aca="false">MAX(G96,0)</f>
        <v>41.2</v>
      </c>
      <c r="I96" s="13" t="n">
        <f aca="false">MAX(-G96,0)</f>
        <v>0</v>
      </c>
      <c r="J96" s="10" t="s">
        <v>62</v>
      </c>
    </row>
    <row r="97" customFormat="false" ht="15" hidden="false" customHeight="false" outlineLevel="0" collapsed="false">
      <c r="A97" s="10" t="n">
        <v>4</v>
      </c>
      <c r="B97" s="10" t="s">
        <v>91</v>
      </c>
      <c r="C97" s="10" t="n">
        <v>23</v>
      </c>
      <c r="D97" s="10" t="s">
        <v>88</v>
      </c>
      <c r="E97" s="11" t="n">
        <v>42.4</v>
      </c>
      <c r="F97" s="12" t="n">
        <v>0</v>
      </c>
      <c r="G97" s="13" t="n">
        <f aca="false">E97-F97</f>
        <v>42.4</v>
      </c>
      <c r="H97" s="13" t="n">
        <f aca="false">MAX(G97,0)</f>
        <v>42.4</v>
      </c>
      <c r="I97" s="13" t="n">
        <f aca="false">MAX(-G97,0)</f>
        <v>0</v>
      </c>
      <c r="J97" s="10" t="s">
        <v>62</v>
      </c>
    </row>
    <row r="98" customFormat="false" ht="15" hidden="false" customHeight="false" outlineLevel="0" collapsed="false">
      <c r="A98" s="10" t="n">
        <v>5</v>
      </c>
      <c r="B98" s="10" t="s">
        <v>92</v>
      </c>
      <c r="C98" s="10" t="n">
        <v>0</v>
      </c>
      <c r="D98" s="10" t="s">
        <v>61</v>
      </c>
      <c r="E98" s="11" t="n">
        <v>39.2</v>
      </c>
      <c r="F98" s="12" t="n">
        <v>0</v>
      </c>
      <c r="G98" s="13" t="n">
        <f aca="false">E98-F98</f>
        <v>39.2</v>
      </c>
      <c r="H98" s="13" t="n">
        <f aca="false">MAX(G98,0)</f>
        <v>39.2</v>
      </c>
      <c r="I98" s="13" t="n">
        <f aca="false">MAX(-G98,0)</f>
        <v>0</v>
      </c>
      <c r="J98" s="10" t="s">
        <v>62</v>
      </c>
    </row>
    <row r="99" customFormat="false" ht="15" hidden="false" customHeight="false" outlineLevel="0" collapsed="false">
      <c r="A99" s="10" t="n">
        <v>5</v>
      </c>
      <c r="B99" s="10" t="s">
        <v>92</v>
      </c>
      <c r="C99" s="10" t="n">
        <v>1</v>
      </c>
      <c r="D99" s="10" t="s">
        <v>63</v>
      </c>
      <c r="E99" s="11" t="n">
        <v>39.9</v>
      </c>
      <c r="F99" s="12" t="n">
        <v>0</v>
      </c>
      <c r="G99" s="13" t="n">
        <f aca="false">E99-F99</f>
        <v>39.9</v>
      </c>
      <c r="H99" s="13" t="n">
        <f aca="false">MAX(G99,0)</f>
        <v>39.9</v>
      </c>
      <c r="I99" s="13" t="n">
        <f aca="false">MAX(-G99,0)</f>
        <v>0</v>
      </c>
      <c r="J99" s="10" t="s">
        <v>62</v>
      </c>
    </row>
    <row r="100" customFormat="false" ht="15" hidden="false" customHeight="false" outlineLevel="0" collapsed="false">
      <c r="A100" s="10" t="n">
        <v>5</v>
      </c>
      <c r="B100" s="10" t="s">
        <v>92</v>
      </c>
      <c r="C100" s="10" t="n">
        <v>2</v>
      </c>
      <c r="D100" s="10" t="s">
        <v>64</v>
      </c>
      <c r="E100" s="11" t="n">
        <v>44</v>
      </c>
      <c r="F100" s="12" t="n">
        <v>0</v>
      </c>
      <c r="G100" s="13" t="n">
        <f aca="false">E100-F100</f>
        <v>44</v>
      </c>
      <c r="H100" s="13" t="n">
        <f aca="false">MAX(G100,0)</f>
        <v>44</v>
      </c>
      <c r="I100" s="13" t="n">
        <f aca="false">MAX(-G100,0)</f>
        <v>0</v>
      </c>
      <c r="J100" s="10" t="s">
        <v>62</v>
      </c>
    </row>
    <row r="101" customFormat="false" ht="15" hidden="false" customHeight="false" outlineLevel="0" collapsed="false">
      <c r="A101" s="10" t="n">
        <v>5</v>
      </c>
      <c r="B101" s="10" t="s">
        <v>92</v>
      </c>
      <c r="C101" s="10" t="n">
        <v>3</v>
      </c>
      <c r="D101" s="10" t="s">
        <v>65</v>
      </c>
      <c r="E101" s="11" t="n">
        <v>41.9</v>
      </c>
      <c r="F101" s="12" t="n">
        <v>0</v>
      </c>
      <c r="G101" s="13" t="n">
        <f aca="false">E101-F101</f>
        <v>41.9</v>
      </c>
      <c r="H101" s="13" t="n">
        <f aca="false">MAX(G101,0)</f>
        <v>41.9</v>
      </c>
      <c r="I101" s="13" t="n">
        <f aca="false">MAX(-G101,0)</f>
        <v>0</v>
      </c>
      <c r="J101" s="10" t="s">
        <v>62</v>
      </c>
    </row>
    <row r="102" customFormat="false" ht="15" hidden="false" customHeight="false" outlineLevel="0" collapsed="false">
      <c r="A102" s="10" t="n">
        <v>5</v>
      </c>
      <c r="B102" s="10" t="s">
        <v>92</v>
      </c>
      <c r="C102" s="10" t="n">
        <v>4</v>
      </c>
      <c r="D102" s="10" t="s">
        <v>66</v>
      </c>
      <c r="E102" s="11" t="n">
        <v>40.6</v>
      </c>
      <c r="F102" s="12" t="n">
        <v>0</v>
      </c>
      <c r="G102" s="13" t="n">
        <f aca="false">E102-F102</f>
        <v>40.6</v>
      </c>
      <c r="H102" s="13" t="n">
        <f aca="false">MAX(G102,0)</f>
        <v>40.6</v>
      </c>
      <c r="I102" s="13" t="n">
        <f aca="false">MAX(-G102,0)</f>
        <v>0</v>
      </c>
      <c r="J102" s="10" t="s">
        <v>62</v>
      </c>
    </row>
    <row r="103" customFormat="false" ht="15" hidden="false" customHeight="false" outlineLevel="0" collapsed="false">
      <c r="A103" s="10" t="n">
        <v>5</v>
      </c>
      <c r="B103" s="10" t="s">
        <v>92</v>
      </c>
      <c r="C103" s="10" t="n">
        <v>5</v>
      </c>
      <c r="D103" s="10" t="s">
        <v>67</v>
      </c>
      <c r="E103" s="11" t="n">
        <v>58.1</v>
      </c>
      <c r="F103" s="12" t="n">
        <v>0</v>
      </c>
      <c r="G103" s="13" t="n">
        <f aca="false">E103-F103</f>
        <v>58.1</v>
      </c>
      <c r="H103" s="13" t="n">
        <f aca="false">MAX(G103,0)</f>
        <v>58.1</v>
      </c>
      <c r="I103" s="13" t="n">
        <f aca="false">MAX(-G103,0)</f>
        <v>0</v>
      </c>
      <c r="J103" s="10" t="s">
        <v>62</v>
      </c>
    </row>
    <row r="104" customFormat="false" ht="15" hidden="false" customHeight="false" outlineLevel="0" collapsed="false">
      <c r="A104" s="10" t="n">
        <v>5</v>
      </c>
      <c r="B104" s="10" t="s">
        <v>92</v>
      </c>
      <c r="C104" s="10" t="n">
        <v>6</v>
      </c>
      <c r="D104" s="10" t="s">
        <v>68</v>
      </c>
      <c r="E104" s="11" t="n">
        <v>67.7</v>
      </c>
      <c r="F104" s="14" t="n">
        <v>20.7</v>
      </c>
      <c r="G104" s="13" t="n">
        <f aca="false">E104-F104</f>
        <v>47</v>
      </c>
      <c r="H104" s="13" t="n">
        <f aca="false">MAX(G104,0)</f>
        <v>47</v>
      </c>
      <c r="I104" s="13" t="n">
        <f aca="false">MAX(-G104,0)</f>
        <v>0</v>
      </c>
      <c r="J104" s="10" t="s">
        <v>69</v>
      </c>
    </row>
    <row r="105" customFormat="false" ht="15" hidden="false" customHeight="false" outlineLevel="0" collapsed="false">
      <c r="A105" s="10" t="n">
        <v>5</v>
      </c>
      <c r="B105" s="10" t="s">
        <v>92</v>
      </c>
      <c r="C105" s="10" t="n">
        <v>7</v>
      </c>
      <c r="D105" s="10" t="s">
        <v>70</v>
      </c>
      <c r="E105" s="11" t="n">
        <v>85</v>
      </c>
      <c r="F105" s="14" t="n">
        <v>39.8</v>
      </c>
      <c r="G105" s="13" t="n">
        <f aca="false">E105-F105</f>
        <v>45.2</v>
      </c>
      <c r="H105" s="13" t="n">
        <f aca="false">MAX(G105,0)</f>
        <v>45.2</v>
      </c>
      <c r="I105" s="13" t="n">
        <f aca="false">MAX(-G105,0)</f>
        <v>0</v>
      </c>
      <c r="J105" s="10" t="s">
        <v>69</v>
      </c>
    </row>
    <row r="106" customFormat="false" ht="15" hidden="false" customHeight="false" outlineLevel="0" collapsed="false">
      <c r="A106" s="10" t="n">
        <v>5</v>
      </c>
      <c r="B106" s="10" t="s">
        <v>92</v>
      </c>
      <c r="C106" s="10" t="n">
        <v>8</v>
      </c>
      <c r="D106" s="10" t="s">
        <v>71</v>
      </c>
      <c r="E106" s="11" t="n">
        <v>89.1</v>
      </c>
      <c r="F106" s="14" t="n">
        <v>58.5</v>
      </c>
      <c r="G106" s="13" t="n">
        <f aca="false">E106-F106</f>
        <v>30.6</v>
      </c>
      <c r="H106" s="13" t="n">
        <f aca="false">MAX(G106,0)</f>
        <v>30.6</v>
      </c>
      <c r="I106" s="13" t="n">
        <f aca="false">MAX(-G106,0)</f>
        <v>0</v>
      </c>
      <c r="J106" s="10" t="s">
        <v>69</v>
      </c>
    </row>
    <row r="107" customFormat="false" ht="15" hidden="false" customHeight="false" outlineLevel="0" collapsed="false">
      <c r="A107" s="10" t="n">
        <v>5</v>
      </c>
      <c r="B107" s="10" t="s">
        <v>92</v>
      </c>
      <c r="C107" s="10" t="n">
        <v>9</v>
      </c>
      <c r="D107" s="10" t="s">
        <v>72</v>
      </c>
      <c r="E107" s="11" t="n">
        <v>91</v>
      </c>
      <c r="F107" s="14" t="n">
        <v>86.5</v>
      </c>
      <c r="G107" s="13" t="n">
        <f aca="false">E107-F107</f>
        <v>4.5</v>
      </c>
      <c r="H107" s="13" t="n">
        <f aca="false">MAX(G107,0)</f>
        <v>4.5</v>
      </c>
      <c r="I107" s="13" t="n">
        <f aca="false">MAX(-G107,0)</f>
        <v>0</v>
      </c>
      <c r="J107" s="10" t="s">
        <v>69</v>
      </c>
    </row>
    <row r="108" customFormat="false" ht="15" hidden="false" customHeight="false" outlineLevel="0" collapsed="false">
      <c r="A108" s="10" t="n">
        <v>5</v>
      </c>
      <c r="B108" s="10" t="s">
        <v>92</v>
      </c>
      <c r="C108" s="10" t="n">
        <v>10</v>
      </c>
      <c r="D108" s="10" t="s">
        <v>73</v>
      </c>
      <c r="E108" s="11" t="n">
        <v>92</v>
      </c>
      <c r="F108" s="14" t="n">
        <v>112.3</v>
      </c>
      <c r="G108" s="13" t="n">
        <f aca="false">E108-F108</f>
        <v>-20.3</v>
      </c>
      <c r="H108" s="13" t="n">
        <f aca="false">MAX(G108,0)</f>
        <v>0</v>
      </c>
      <c r="I108" s="13" t="n">
        <f aca="false">MAX(-G108,0)</f>
        <v>20.3</v>
      </c>
      <c r="J108" s="10" t="s">
        <v>74</v>
      </c>
    </row>
    <row r="109" customFormat="false" ht="15" hidden="false" customHeight="false" outlineLevel="0" collapsed="false">
      <c r="A109" s="10" t="n">
        <v>5</v>
      </c>
      <c r="B109" s="10" t="s">
        <v>92</v>
      </c>
      <c r="C109" s="10" t="n">
        <v>11</v>
      </c>
      <c r="D109" s="10" t="s">
        <v>75</v>
      </c>
      <c r="E109" s="11" t="n">
        <v>92.9</v>
      </c>
      <c r="F109" s="14" t="n">
        <v>122.8</v>
      </c>
      <c r="G109" s="13" t="n">
        <f aca="false">E109-F109</f>
        <v>-29.9</v>
      </c>
      <c r="H109" s="13" t="n">
        <f aca="false">MAX(G109,0)</f>
        <v>0</v>
      </c>
      <c r="I109" s="13" t="n">
        <f aca="false">MAX(-G109,0)</f>
        <v>29.9</v>
      </c>
      <c r="J109" s="10" t="s">
        <v>74</v>
      </c>
    </row>
    <row r="110" customFormat="false" ht="15" hidden="false" customHeight="false" outlineLevel="0" collapsed="false">
      <c r="A110" s="10" t="n">
        <v>5</v>
      </c>
      <c r="B110" s="10" t="s">
        <v>92</v>
      </c>
      <c r="C110" s="10" t="n">
        <v>12</v>
      </c>
      <c r="D110" s="10" t="s">
        <v>76</v>
      </c>
      <c r="E110" s="11" t="n">
        <v>74.4</v>
      </c>
      <c r="F110" s="14" t="n">
        <v>134</v>
      </c>
      <c r="G110" s="13" t="n">
        <f aca="false">E110-F110</f>
        <v>-59.6</v>
      </c>
      <c r="H110" s="13" t="n">
        <f aca="false">MAX(G110,0)</f>
        <v>0</v>
      </c>
      <c r="I110" s="13" t="n">
        <f aca="false">MAX(-G110,0)</f>
        <v>59.6</v>
      </c>
      <c r="J110" s="10" t="s">
        <v>77</v>
      </c>
    </row>
    <row r="111" customFormat="false" ht="15" hidden="false" customHeight="false" outlineLevel="0" collapsed="false">
      <c r="A111" s="10" t="n">
        <v>5</v>
      </c>
      <c r="B111" s="10" t="s">
        <v>92</v>
      </c>
      <c r="C111" s="10" t="n">
        <v>13</v>
      </c>
      <c r="D111" s="10" t="s">
        <v>78</v>
      </c>
      <c r="E111" s="11" t="n">
        <v>86.3</v>
      </c>
      <c r="F111" s="14" t="n">
        <v>123.3</v>
      </c>
      <c r="G111" s="13" t="n">
        <f aca="false">E111-F111</f>
        <v>-37</v>
      </c>
      <c r="H111" s="13" t="n">
        <f aca="false">MAX(G111,0)</f>
        <v>0</v>
      </c>
      <c r="I111" s="13" t="n">
        <f aca="false">MAX(-G111,0)</f>
        <v>37</v>
      </c>
      <c r="J111" s="10" t="s">
        <v>74</v>
      </c>
    </row>
    <row r="112" customFormat="false" ht="15" hidden="false" customHeight="false" outlineLevel="0" collapsed="false">
      <c r="A112" s="10" t="n">
        <v>5</v>
      </c>
      <c r="B112" s="10" t="s">
        <v>92</v>
      </c>
      <c r="C112" s="10" t="n">
        <v>14</v>
      </c>
      <c r="D112" s="10" t="s">
        <v>79</v>
      </c>
      <c r="E112" s="11" t="n">
        <v>94.1</v>
      </c>
      <c r="F112" s="14" t="n">
        <v>109.6</v>
      </c>
      <c r="G112" s="13" t="n">
        <f aca="false">E112-F112</f>
        <v>-15.5</v>
      </c>
      <c r="H112" s="13" t="n">
        <f aca="false">MAX(G112,0)</f>
        <v>0</v>
      </c>
      <c r="I112" s="13" t="n">
        <f aca="false">MAX(-G112,0)</f>
        <v>15.5</v>
      </c>
      <c r="J112" s="10" t="s">
        <v>74</v>
      </c>
    </row>
    <row r="113" customFormat="false" ht="15" hidden="false" customHeight="false" outlineLevel="0" collapsed="false">
      <c r="A113" s="10" t="n">
        <v>5</v>
      </c>
      <c r="B113" s="10" t="s">
        <v>92</v>
      </c>
      <c r="C113" s="10" t="n">
        <v>15</v>
      </c>
      <c r="D113" s="10" t="s">
        <v>80</v>
      </c>
      <c r="E113" s="11" t="n">
        <v>93.5</v>
      </c>
      <c r="F113" s="14" t="n">
        <v>87.7</v>
      </c>
      <c r="G113" s="13" t="n">
        <f aca="false">E113-F113</f>
        <v>5.8</v>
      </c>
      <c r="H113" s="13" t="n">
        <f aca="false">MAX(G113,0)</f>
        <v>5.8</v>
      </c>
      <c r="I113" s="13" t="n">
        <f aca="false">MAX(-G113,0)</f>
        <v>0</v>
      </c>
      <c r="J113" s="10" t="s">
        <v>69</v>
      </c>
    </row>
    <row r="114" customFormat="false" ht="15" hidden="false" customHeight="false" outlineLevel="0" collapsed="false">
      <c r="A114" s="10" t="n">
        <v>5</v>
      </c>
      <c r="B114" s="10" t="s">
        <v>92</v>
      </c>
      <c r="C114" s="10" t="n">
        <v>16</v>
      </c>
      <c r="D114" s="10" t="s">
        <v>81</v>
      </c>
      <c r="E114" s="11" t="n">
        <v>95.6</v>
      </c>
      <c r="F114" s="14" t="n">
        <v>58.2</v>
      </c>
      <c r="G114" s="13" t="n">
        <f aca="false">E114-F114</f>
        <v>37.4</v>
      </c>
      <c r="H114" s="13" t="n">
        <f aca="false">MAX(G114,0)</f>
        <v>37.4</v>
      </c>
      <c r="I114" s="13" t="n">
        <f aca="false">MAX(-G114,0)</f>
        <v>0</v>
      </c>
      <c r="J114" s="10" t="s">
        <v>69</v>
      </c>
    </row>
    <row r="115" customFormat="false" ht="15" hidden="false" customHeight="false" outlineLevel="0" collapsed="false">
      <c r="A115" s="10" t="n">
        <v>5</v>
      </c>
      <c r="B115" s="10" t="s">
        <v>92</v>
      </c>
      <c r="C115" s="10" t="n">
        <v>17</v>
      </c>
      <c r="D115" s="10" t="s">
        <v>82</v>
      </c>
      <c r="E115" s="11" t="n">
        <v>89.1</v>
      </c>
      <c r="F115" s="14" t="n">
        <v>38.6</v>
      </c>
      <c r="G115" s="13" t="n">
        <f aca="false">E115-F115</f>
        <v>50.5</v>
      </c>
      <c r="H115" s="13" t="n">
        <f aca="false">MAX(G115,0)</f>
        <v>50.5</v>
      </c>
      <c r="I115" s="13" t="n">
        <f aca="false">MAX(-G115,0)</f>
        <v>0</v>
      </c>
      <c r="J115" s="10" t="s">
        <v>69</v>
      </c>
    </row>
    <row r="116" customFormat="false" ht="15" hidden="false" customHeight="false" outlineLevel="0" collapsed="false">
      <c r="A116" s="10" t="n">
        <v>5</v>
      </c>
      <c r="B116" s="10" t="s">
        <v>92</v>
      </c>
      <c r="C116" s="10" t="n">
        <v>18</v>
      </c>
      <c r="D116" s="10" t="s">
        <v>83</v>
      </c>
      <c r="E116" s="11" t="n">
        <v>75.5</v>
      </c>
      <c r="F116" s="14" t="n">
        <v>22.6</v>
      </c>
      <c r="G116" s="13" t="n">
        <f aca="false">E116-F116</f>
        <v>52.9</v>
      </c>
      <c r="H116" s="13" t="n">
        <f aca="false">MAX(G116,0)</f>
        <v>52.9</v>
      </c>
      <c r="I116" s="13" t="n">
        <f aca="false">MAX(-G116,0)</f>
        <v>0</v>
      </c>
      <c r="J116" s="10" t="s">
        <v>69</v>
      </c>
    </row>
    <row r="117" customFormat="false" ht="15" hidden="false" customHeight="false" outlineLevel="0" collapsed="false">
      <c r="A117" s="10" t="n">
        <v>5</v>
      </c>
      <c r="B117" s="10" t="s">
        <v>92</v>
      </c>
      <c r="C117" s="10" t="n">
        <v>19</v>
      </c>
      <c r="D117" s="10" t="s">
        <v>84</v>
      </c>
      <c r="E117" s="11" t="n">
        <v>73.4</v>
      </c>
      <c r="F117" s="12" t="n">
        <v>0</v>
      </c>
      <c r="G117" s="13" t="n">
        <f aca="false">E117-F117</f>
        <v>73.4</v>
      </c>
      <c r="H117" s="13" t="n">
        <f aca="false">MAX(G117,0)</f>
        <v>73.4</v>
      </c>
      <c r="I117" s="13" t="n">
        <f aca="false">MAX(-G117,0)</f>
        <v>0</v>
      </c>
      <c r="J117" s="10" t="s">
        <v>69</v>
      </c>
    </row>
    <row r="118" customFormat="false" ht="15" hidden="false" customHeight="false" outlineLevel="0" collapsed="false">
      <c r="A118" s="10" t="n">
        <v>5</v>
      </c>
      <c r="B118" s="10" t="s">
        <v>92</v>
      </c>
      <c r="C118" s="10" t="n">
        <v>20</v>
      </c>
      <c r="D118" s="10" t="s">
        <v>85</v>
      </c>
      <c r="E118" s="11" t="n">
        <v>54</v>
      </c>
      <c r="F118" s="12" t="n">
        <v>0</v>
      </c>
      <c r="G118" s="13" t="n">
        <f aca="false">E118-F118</f>
        <v>54</v>
      </c>
      <c r="H118" s="13" t="n">
        <f aca="false">MAX(G118,0)</f>
        <v>54</v>
      </c>
      <c r="I118" s="13" t="n">
        <f aca="false">MAX(-G118,0)</f>
        <v>0</v>
      </c>
      <c r="J118" s="10" t="s">
        <v>69</v>
      </c>
    </row>
    <row r="119" customFormat="false" ht="15" hidden="false" customHeight="false" outlineLevel="0" collapsed="false">
      <c r="A119" s="10" t="n">
        <v>5</v>
      </c>
      <c r="B119" s="10" t="s">
        <v>92</v>
      </c>
      <c r="C119" s="10" t="n">
        <v>21</v>
      </c>
      <c r="D119" s="10" t="s">
        <v>86</v>
      </c>
      <c r="E119" s="11" t="n">
        <v>55.9</v>
      </c>
      <c r="F119" s="12" t="n">
        <v>0</v>
      </c>
      <c r="G119" s="13" t="n">
        <f aca="false">E119-F119</f>
        <v>55.9</v>
      </c>
      <c r="H119" s="13" t="n">
        <f aca="false">MAX(G119,0)</f>
        <v>55.9</v>
      </c>
      <c r="I119" s="13" t="n">
        <f aca="false">MAX(-G119,0)</f>
        <v>0</v>
      </c>
      <c r="J119" s="10" t="s">
        <v>69</v>
      </c>
    </row>
    <row r="120" customFormat="false" ht="15" hidden="false" customHeight="false" outlineLevel="0" collapsed="false">
      <c r="A120" s="10" t="n">
        <v>5</v>
      </c>
      <c r="B120" s="10" t="s">
        <v>92</v>
      </c>
      <c r="C120" s="10" t="n">
        <v>22</v>
      </c>
      <c r="D120" s="10" t="s">
        <v>87</v>
      </c>
      <c r="E120" s="11" t="n">
        <v>38.6</v>
      </c>
      <c r="F120" s="12" t="n">
        <v>0</v>
      </c>
      <c r="G120" s="13" t="n">
        <f aca="false">E120-F120</f>
        <v>38.6</v>
      </c>
      <c r="H120" s="13" t="n">
        <f aca="false">MAX(G120,0)</f>
        <v>38.6</v>
      </c>
      <c r="I120" s="13" t="n">
        <f aca="false">MAX(-G120,0)</f>
        <v>0</v>
      </c>
      <c r="J120" s="10" t="s">
        <v>62</v>
      </c>
    </row>
    <row r="121" customFormat="false" ht="15" hidden="false" customHeight="false" outlineLevel="0" collapsed="false">
      <c r="A121" s="10" t="n">
        <v>5</v>
      </c>
      <c r="B121" s="10" t="s">
        <v>92</v>
      </c>
      <c r="C121" s="10" t="n">
        <v>23</v>
      </c>
      <c r="D121" s="10" t="s">
        <v>88</v>
      </c>
      <c r="E121" s="11" t="n">
        <v>40.4</v>
      </c>
      <c r="F121" s="12" t="n">
        <v>0</v>
      </c>
      <c r="G121" s="13" t="n">
        <f aca="false">E121-F121</f>
        <v>40.4</v>
      </c>
      <c r="H121" s="13" t="n">
        <f aca="false">MAX(G121,0)</f>
        <v>40.4</v>
      </c>
      <c r="I121" s="13" t="n">
        <f aca="false">MAX(-G121,0)</f>
        <v>0</v>
      </c>
      <c r="J121" s="10" t="s">
        <v>62</v>
      </c>
    </row>
    <row r="122" customFormat="false" ht="15" hidden="false" customHeight="false" outlineLevel="0" collapsed="false">
      <c r="A122" s="10" t="n">
        <v>6</v>
      </c>
      <c r="B122" s="10" t="s">
        <v>93</v>
      </c>
      <c r="C122" s="10" t="n">
        <v>0</v>
      </c>
      <c r="D122" s="10" t="s">
        <v>61</v>
      </c>
      <c r="E122" s="11" t="n">
        <v>40</v>
      </c>
      <c r="F122" s="12" t="n">
        <v>0</v>
      </c>
      <c r="G122" s="13" t="n">
        <f aca="false">E122-F122</f>
        <v>40</v>
      </c>
      <c r="H122" s="13" t="n">
        <f aca="false">MAX(G122,0)</f>
        <v>40</v>
      </c>
      <c r="I122" s="13" t="n">
        <f aca="false">MAX(-G122,0)</f>
        <v>0</v>
      </c>
      <c r="J122" s="10" t="s">
        <v>62</v>
      </c>
    </row>
    <row r="123" customFormat="false" ht="15" hidden="false" customHeight="false" outlineLevel="0" collapsed="false">
      <c r="A123" s="10" t="n">
        <v>6</v>
      </c>
      <c r="B123" s="10" t="s">
        <v>93</v>
      </c>
      <c r="C123" s="10" t="n">
        <v>1</v>
      </c>
      <c r="D123" s="10" t="s">
        <v>63</v>
      </c>
      <c r="E123" s="11" t="n">
        <v>43.2</v>
      </c>
      <c r="F123" s="12" t="n">
        <v>0</v>
      </c>
      <c r="G123" s="13" t="n">
        <f aca="false">E123-F123</f>
        <v>43.2</v>
      </c>
      <c r="H123" s="13" t="n">
        <f aca="false">MAX(G123,0)</f>
        <v>43.2</v>
      </c>
      <c r="I123" s="13" t="n">
        <f aca="false">MAX(-G123,0)</f>
        <v>0</v>
      </c>
      <c r="J123" s="10" t="s">
        <v>62</v>
      </c>
    </row>
    <row r="124" customFormat="false" ht="15" hidden="false" customHeight="false" outlineLevel="0" collapsed="false">
      <c r="A124" s="10" t="n">
        <v>6</v>
      </c>
      <c r="B124" s="10" t="s">
        <v>93</v>
      </c>
      <c r="C124" s="10" t="n">
        <v>2</v>
      </c>
      <c r="D124" s="10" t="s">
        <v>64</v>
      </c>
      <c r="E124" s="11" t="n">
        <v>39.5</v>
      </c>
      <c r="F124" s="12" t="n">
        <v>0</v>
      </c>
      <c r="G124" s="13" t="n">
        <f aca="false">E124-F124</f>
        <v>39.5</v>
      </c>
      <c r="H124" s="13" t="n">
        <f aca="false">MAX(G124,0)</f>
        <v>39.5</v>
      </c>
      <c r="I124" s="13" t="n">
        <f aca="false">MAX(-G124,0)</f>
        <v>0</v>
      </c>
      <c r="J124" s="10" t="s">
        <v>62</v>
      </c>
    </row>
    <row r="125" customFormat="false" ht="15" hidden="false" customHeight="false" outlineLevel="0" collapsed="false">
      <c r="A125" s="10" t="n">
        <v>6</v>
      </c>
      <c r="B125" s="10" t="s">
        <v>93</v>
      </c>
      <c r="C125" s="10" t="n">
        <v>3</v>
      </c>
      <c r="D125" s="10" t="s">
        <v>65</v>
      </c>
      <c r="E125" s="11" t="n">
        <v>39.1</v>
      </c>
      <c r="F125" s="12" t="n">
        <v>0</v>
      </c>
      <c r="G125" s="13" t="n">
        <f aca="false">E125-F125</f>
        <v>39.1</v>
      </c>
      <c r="H125" s="13" t="n">
        <f aca="false">MAX(G125,0)</f>
        <v>39.1</v>
      </c>
      <c r="I125" s="13" t="n">
        <f aca="false">MAX(-G125,0)</f>
        <v>0</v>
      </c>
      <c r="J125" s="10" t="s">
        <v>62</v>
      </c>
    </row>
    <row r="126" customFormat="false" ht="15" hidden="false" customHeight="false" outlineLevel="0" collapsed="false">
      <c r="A126" s="10" t="n">
        <v>6</v>
      </c>
      <c r="B126" s="10" t="s">
        <v>93</v>
      </c>
      <c r="C126" s="10" t="n">
        <v>4</v>
      </c>
      <c r="D126" s="10" t="s">
        <v>66</v>
      </c>
      <c r="E126" s="11" t="n">
        <v>40.7</v>
      </c>
      <c r="F126" s="12" t="n">
        <v>0</v>
      </c>
      <c r="G126" s="13" t="n">
        <f aca="false">E126-F126</f>
        <v>40.7</v>
      </c>
      <c r="H126" s="13" t="n">
        <f aca="false">MAX(G126,0)</f>
        <v>40.7</v>
      </c>
      <c r="I126" s="13" t="n">
        <f aca="false">MAX(-G126,0)</f>
        <v>0</v>
      </c>
      <c r="J126" s="10" t="s">
        <v>62</v>
      </c>
    </row>
    <row r="127" customFormat="false" ht="15" hidden="false" customHeight="false" outlineLevel="0" collapsed="false">
      <c r="A127" s="10" t="n">
        <v>6</v>
      </c>
      <c r="B127" s="10" t="s">
        <v>93</v>
      </c>
      <c r="C127" s="10" t="n">
        <v>5</v>
      </c>
      <c r="D127" s="10" t="s">
        <v>67</v>
      </c>
      <c r="E127" s="11" t="n">
        <v>57.5</v>
      </c>
      <c r="F127" s="12" t="n">
        <v>0</v>
      </c>
      <c r="G127" s="13" t="n">
        <f aca="false">E127-F127</f>
        <v>57.5</v>
      </c>
      <c r="H127" s="13" t="n">
        <f aca="false">MAX(G127,0)</f>
        <v>57.5</v>
      </c>
      <c r="I127" s="13" t="n">
        <f aca="false">MAX(-G127,0)</f>
        <v>0</v>
      </c>
      <c r="J127" s="10" t="s">
        <v>62</v>
      </c>
    </row>
    <row r="128" customFormat="false" ht="15" hidden="false" customHeight="false" outlineLevel="0" collapsed="false">
      <c r="A128" s="10" t="n">
        <v>6</v>
      </c>
      <c r="B128" s="10" t="s">
        <v>93</v>
      </c>
      <c r="C128" s="10" t="n">
        <v>6</v>
      </c>
      <c r="D128" s="10" t="s">
        <v>68</v>
      </c>
      <c r="E128" s="11" t="n">
        <v>68.7</v>
      </c>
      <c r="F128" s="14" t="n">
        <v>19</v>
      </c>
      <c r="G128" s="13" t="n">
        <f aca="false">E128-F128</f>
        <v>49.7</v>
      </c>
      <c r="H128" s="13" t="n">
        <f aca="false">MAX(G128,0)</f>
        <v>49.7</v>
      </c>
      <c r="I128" s="13" t="n">
        <f aca="false">MAX(-G128,0)</f>
        <v>0</v>
      </c>
      <c r="J128" s="10" t="s">
        <v>69</v>
      </c>
    </row>
    <row r="129" customFormat="false" ht="15" hidden="false" customHeight="false" outlineLevel="0" collapsed="false">
      <c r="A129" s="10" t="n">
        <v>6</v>
      </c>
      <c r="B129" s="10" t="s">
        <v>93</v>
      </c>
      <c r="C129" s="10" t="n">
        <v>7</v>
      </c>
      <c r="D129" s="10" t="s">
        <v>70</v>
      </c>
      <c r="E129" s="11" t="n">
        <v>88.5</v>
      </c>
      <c r="F129" s="14" t="n">
        <v>35.4</v>
      </c>
      <c r="G129" s="13" t="n">
        <f aca="false">E129-F129</f>
        <v>53.1</v>
      </c>
      <c r="H129" s="13" t="n">
        <f aca="false">MAX(G129,0)</f>
        <v>53.1</v>
      </c>
      <c r="I129" s="13" t="n">
        <f aca="false">MAX(-G129,0)</f>
        <v>0</v>
      </c>
      <c r="J129" s="10" t="s">
        <v>69</v>
      </c>
    </row>
    <row r="130" customFormat="false" ht="15" hidden="false" customHeight="false" outlineLevel="0" collapsed="false">
      <c r="A130" s="10" t="n">
        <v>6</v>
      </c>
      <c r="B130" s="10" t="s">
        <v>93</v>
      </c>
      <c r="C130" s="10" t="n">
        <v>8</v>
      </c>
      <c r="D130" s="10" t="s">
        <v>71</v>
      </c>
      <c r="E130" s="11" t="n">
        <v>92.9</v>
      </c>
      <c r="F130" s="14" t="n">
        <v>56.1</v>
      </c>
      <c r="G130" s="13" t="n">
        <f aca="false">E130-F130</f>
        <v>36.8</v>
      </c>
      <c r="H130" s="13" t="n">
        <f aca="false">MAX(G130,0)</f>
        <v>36.8</v>
      </c>
      <c r="I130" s="13" t="n">
        <f aca="false">MAX(-G130,0)</f>
        <v>0</v>
      </c>
      <c r="J130" s="10" t="s">
        <v>69</v>
      </c>
    </row>
    <row r="131" customFormat="false" ht="15" hidden="false" customHeight="false" outlineLevel="0" collapsed="false">
      <c r="A131" s="10" t="n">
        <v>6</v>
      </c>
      <c r="B131" s="10" t="s">
        <v>93</v>
      </c>
      <c r="C131" s="10" t="n">
        <v>9</v>
      </c>
      <c r="D131" s="10" t="s">
        <v>72</v>
      </c>
      <c r="E131" s="11" t="n">
        <v>90.9</v>
      </c>
      <c r="F131" s="14" t="n">
        <v>82.4</v>
      </c>
      <c r="G131" s="13" t="n">
        <f aca="false">E131-F131</f>
        <v>8.5</v>
      </c>
      <c r="H131" s="13" t="n">
        <f aca="false">MAX(G131,0)</f>
        <v>8.5</v>
      </c>
      <c r="I131" s="13" t="n">
        <f aca="false">MAX(-G131,0)</f>
        <v>0</v>
      </c>
      <c r="J131" s="10" t="s">
        <v>69</v>
      </c>
    </row>
    <row r="132" customFormat="false" ht="15" hidden="false" customHeight="false" outlineLevel="0" collapsed="false">
      <c r="A132" s="10" t="n">
        <v>6</v>
      </c>
      <c r="B132" s="10" t="s">
        <v>93</v>
      </c>
      <c r="C132" s="10" t="n">
        <v>10</v>
      </c>
      <c r="D132" s="10" t="s">
        <v>73</v>
      </c>
      <c r="E132" s="11" t="n">
        <v>95.6</v>
      </c>
      <c r="F132" s="14" t="n">
        <v>103.8</v>
      </c>
      <c r="G132" s="13" t="n">
        <f aca="false">E132-F132</f>
        <v>-8.2</v>
      </c>
      <c r="H132" s="13" t="n">
        <f aca="false">MAX(G132,0)</f>
        <v>0</v>
      </c>
      <c r="I132" s="13" t="n">
        <f aca="false">MAX(-G132,0)</f>
        <v>8.2</v>
      </c>
      <c r="J132" s="10" t="s">
        <v>74</v>
      </c>
    </row>
    <row r="133" customFormat="false" ht="15" hidden="false" customHeight="false" outlineLevel="0" collapsed="false">
      <c r="A133" s="10" t="n">
        <v>6</v>
      </c>
      <c r="B133" s="10" t="s">
        <v>93</v>
      </c>
      <c r="C133" s="10" t="n">
        <v>11</v>
      </c>
      <c r="D133" s="10" t="s">
        <v>75</v>
      </c>
      <c r="E133" s="11" t="n">
        <v>93.3</v>
      </c>
      <c r="F133" s="14" t="n">
        <v>118.7</v>
      </c>
      <c r="G133" s="13" t="n">
        <f aca="false">E133-F133</f>
        <v>-25.4</v>
      </c>
      <c r="H133" s="13" t="n">
        <f aca="false">MAX(G133,0)</f>
        <v>0</v>
      </c>
      <c r="I133" s="13" t="n">
        <f aca="false">MAX(-G133,0)</f>
        <v>25.4</v>
      </c>
      <c r="J133" s="10" t="s">
        <v>74</v>
      </c>
    </row>
    <row r="134" customFormat="false" ht="15" hidden="false" customHeight="false" outlineLevel="0" collapsed="false">
      <c r="A134" s="10" t="n">
        <v>6</v>
      </c>
      <c r="B134" s="10" t="s">
        <v>93</v>
      </c>
      <c r="C134" s="10" t="n">
        <v>12</v>
      </c>
      <c r="D134" s="10" t="s">
        <v>76</v>
      </c>
      <c r="E134" s="11" t="n">
        <v>74</v>
      </c>
      <c r="F134" s="14" t="n">
        <v>121.6</v>
      </c>
      <c r="G134" s="13" t="n">
        <f aca="false">E134-F134</f>
        <v>-47.6</v>
      </c>
      <c r="H134" s="13" t="n">
        <f aca="false">MAX(G134,0)</f>
        <v>0</v>
      </c>
      <c r="I134" s="13" t="n">
        <f aca="false">MAX(-G134,0)</f>
        <v>47.6</v>
      </c>
      <c r="J134" s="10" t="s">
        <v>77</v>
      </c>
    </row>
    <row r="135" customFormat="false" ht="15" hidden="false" customHeight="false" outlineLevel="0" collapsed="false">
      <c r="A135" s="10" t="n">
        <v>6</v>
      </c>
      <c r="B135" s="10" t="s">
        <v>93</v>
      </c>
      <c r="C135" s="10" t="n">
        <v>13</v>
      </c>
      <c r="D135" s="10" t="s">
        <v>78</v>
      </c>
      <c r="E135" s="11" t="n">
        <v>86.3</v>
      </c>
      <c r="F135" s="14" t="n">
        <v>115.1</v>
      </c>
      <c r="G135" s="13" t="n">
        <f aca="false">E135-F135</f>
        <v>-28.8</v>
      </c>
      <c r="H135" s="13" t="n">
        <f aca="false">MAX(G135,0)</f>
        <v>0</v>
      </c>
      <c r="I135" s="13" t="n">
        <f aca="false">MAX(-G135,0)</f>
        <v>28.8</v>
      </c>
      <c r="J135" s="10" t="s">
        <v>74</v>
      </c>
    </row>
    <row r="136" customFormat="false" ht="15" hidden="false" customHeight="false" outlineLevel="0" collapsed="false">
      <c r="A136" s="10" t="n">
        <v>6</v>
      </c>
      <c r="B136" s="10" t="s">
        <v>93</v>
      </c>
      <c r="C136" s="10" t="n">
        <v>14</v>
      </c>
      <c r="D136" s="10" t="s">
        <v>79</v>
      </c>
      <c r="E136" s="11" t="n">
        <v>88.9</v>
      </c>
      <c r="F136" s="14" t="n">
        <v>99.1</v>
      </c>
      <c r="G136" s="13" t="n">
        <f aca="false">E136-F136</f>
        <v>-10.2</v>
      </c>
      <c r="H136" s="13" t="n">
        <f aca="false">MAX(G136,0)</f>
        <v>0</v>
      </c>
      <c r="I136" s="13" t="n">
        <f aca="false">MAX(-G136,0)</f>
        <v>10.2</v>
      </c>
      <c r="J136" s="10" t="s">
        <v>74</v>
      </c>
    </row>
    <row r="137" customFormat="false" ht="15" hidden="false" customHeight="false" outlineLevel="0" collapsed="false">
      <c r="A137" s="10" t="n">
        <v>6</v>
      </c>
      <c r="B137" s="10" t="s">
        <v>93</v>
      </c>
      <c r="C137" s="10" t="n">
        <v>15</v>
      </c>
      <c r="D137" s="10" t="s">
        <v>80</v>
      </c>
      <c r="E137" s="11" t="n">
        <v>96.6</v>
      </c>
      <c r="F137" s="14" t="n">
        <v>76.5</v>
      </c>
      <c r="G137" s="13" t="n">
        <f aca="false">E137-F137</f>
        <v>20.1</v>
      </c>
      <c r="H137" s="13" t="n">
        <f aca="false">MAX(G137,0)</f>
        <v>20.1</v>
      </c>
      <c r="I137" s="13" t="n">
        <f aca="false">MAX(-G137,0)</f>
        <v>0</v>
      </c>
      <c r="J137" s="10" t="s">
        <v>69</v>
      </c>
    </row>
    <row r="138" customFormat="false" ht="15" hidden="false" customHeight="false" outlineLevel="0" collapsed="false">
      <c r="A138" s="10" t="n">
        <v>6</v>
      </c>
      <c r="B138" s="10" t="s">
        <v>93</v>
      </c>
      <c r="C138" s="10" t="n">
        <v>16</v>
      </c>
      <c r="D138" s="10" t="s">
        <v>81</v>
      </c>
      <c r="E138" s="11" t="n">
        <v>95.4</v>
      </c>
      <c r="F138" s="14" t="n">
        <v>55.3</v>
      </c>
      <c r="G138" s="13" t="n">
        <f aca="false">E138-F138</f>
        <v>40.1</v>
      </c>
      <c r="H138" s="13" t="n">
        <f aca="false">MAX(G138,0)</f>
        <v>40.1</v>
      </c>
      <c r="I138" s="13" t="n">
        <f aca="false">MAX(-G138,0)</f>
        <v>0</v>
      </c>
      <c r="J138" s="10" t="s">
        <v>69</v>
      </c>
    </row>
    <row r="139" customFormat="false" ht="15" hidden="false" customHeight="false" outlineLevel="0" collapsed="false">
      <c r="A139" s="10" t="n">
        <v>6</v>
      </c>
      <c r="B139" s="10" t="s">
        <v>93</v>
      </c>
      <c r="C139" s="10" t="n">
        <v>17</v>
      </c>
      <c r="D139" s="10" t="s">
        <v>82</v>
      </c>
      <c r="E139" s="11" t="n">
        <v>91.1</v>
      </c>
      <c r="F139" s="14" t="n">
        <v>39.6</v>
      </c>
      <c r="G139" s="13" t="n">
        <f aca="false">E139-F139</f>
        <v>51.5</v>
      </c>
      <c r="H139" s="13" t="n">
        <f aca="false">MAX(G139,0)</f>
        <v>51.5</v>
      </c>
      <c r="I139" s="13" t="n">
        <f aca="false">MAX(-G139,0)</f>
        <v>0</v>
      </c>
      <c r="J139" s="10" t="s">
        <v>69</v>
      </c>
    </row>
    <row r="140" customFormat="false" ht="15" hidden="false" customHeight="false" outlineLevel="0" collapsed="false">
      <c r="A140" s="10" t="n">
        <v>6</v>
      </c>
      <c r="B140" s="10" t="s">
        <v>93</v>
      </c>
      <c r="C140" s="10" t="n">
        <v>18</v>
      </c>
      <c r="D140" s="10" t="s">
        <v>83</v>
      </c>
      <c r="E140" s="11" t="n">
        <v>79</v>
      </c>
      <c r="F140" s="14" t="n">
        <v>21.4</v>
      </c>
      <c r="G140" s="13" t="n">
        <f aca="false">E140-F140</f>
        <v>57.6</v>
      </c>
      <c r="H140" s="13" t="n">
        <f aca="false">MAX(G140,0)</f>
        <v>57.6</v>
      </c>
      <c r="I140" s="13" t="n">
        <f aca="false">MAX(-G140,0)</f>
        <v>0</v>
      </c>
      <c r="J140" s="10" t="s">
        <v>69</v>
      </c>
    </row>
    <row r="141" customFormat="false" ht="15" hidden="false" customHeight="false" outlineLevel="0" collapsed="false">
      <c r="A141" s="10" t="n">
        <v>6</v>
      </c>
      <c r="B141" s="10" t="s">
        <v>93</v>
      </c>
      <c r="C141" s="10" t="n">
        <v>19</v>
      </c>
      <c r="D141" s="10" t="s">
        <v>84</v>
      </c>
      <c r="E141" s="11" t="n">
        <v>73.3</v>
      </c>
      <c r="F141" s="12" t="n">
        <v>0</v>
      </c>
      <c r="G141" s="13" t="n">
        <f aca="false">E141-F141</f>
        <v>73.3</v>
      </c>
      <c r="H141" s="13" t="n">
        <f aca="false">MAX(G141,0)</f>
        <v>73.3</v>
      </c>
      <c r="I141" s="13" t="n">
        <f aca="false">MAX(-G141,0)</f>
        <v>0</v>
      </c>
      <c r="J141" s="10" t="s">
        <v>69</v>
      </c>
    </row>
    <row r="142" customFormat="false" ht="15" hidden="false" customHeight="false" outlineLevel="0" collapsed="false">
      <c r="A142" s="10" t="n">
        <v>6</v>
      </c>
      <c r="B142" s="10" t="s">
        <v>93</v>
      </c>
      <c r="C142" s="10" t="n">
        <v>20</v>
      </c>
      <c r="D142" s="10" t="s">
        <v>85</v>
      </c>
      <c r="E142" s="11" t="n">
        <v>50.9</v>
      </c>
      <c r="F142" s="12" t="n">
        <v>0</v>
      </c>
      <c r="G142" s="13" t="n">
        <f aca="false">E142-F142</f>
        <v>50.9</v>
      </c>
      <c r="H142" s="13" t="n">
        <f aca="false">MAX(G142,0)</f>
        <v>50.9</v>
      </c>
      <c r="I142" s="13" t="n">
        <f aca="false">MAX(-G142,0)</f>
        <v>0</v>
      </c>
      <c r="J142" s="10" t="s">
        <v>69</v>
      </c>
    </row>
    <row r="143" customFormat="false" ht="15" hidden="false" customHeight="false" outlineLevel="0" collapsed="false">
      <c r="A143" s="10" t="n">
        <v>6</v>
      </c>
      <c r="B143" s="10" t="s">
        <v>93</v>
      </c>
      <c r="C143" s="10" t="n">
        <v>21</v>
      </c>
      <c r="D143" s="10" t="s">
        <v>86</v>
      </c>
      <c r="E143" s="11" t="n">
        <v>51.8</v>
      </c>
      <c r="F143" s="12" t="n">
        <v>0</v>
      </c>
      <c r="G143" s="13" t="n">
        <f aca="false">E143-F143</f>
        <v>51.8</v>
      </c>
      <c r="H143" s="13" t="n">
        <f aca="false">MAX(G143,0)</f>
        <v>51.8</v>
      </c>
      <c r="I143" s="13" t="n">
        <f aca="false">MAX(-G143,0)</f>
        <v>0</v>
      </c>
      <c r="J143" s="10" t="s">
        <v>69</v>
      </c>
    </row>
    <row r="144" customFormat="false" ht="15" hidden="false" customHeight="false" outlineLevel="0" collapsed="false">
      <c r="A144" s="10" t="n">
        <v>6</v>
      </c>
      <c r="B144" s="10" t="s">
        <v>93</v>
      </c>
      <c r="C144" s="10" t="n">
        <v>22</v>
      </c>
      <c r="D144" s="10" t="s">
        <v>87</v>
      </c>
      <c r="E144" s="11" t="n">
        <v>43.8</v>
      </c>
      <c r="F144" s="12" t="n">
        <v>0</v>
      </c>
      <c r="G144" s="13" t="n">
        <f aca="false">E144-F144</f>
        <v>43.8</v>
      </c>
      <c r="H144" s="13" t="n">
        <f aca="false">MAX(G144,0)</f>
        <v>43.8</v>
      </c>
      <c r="I144" s="13" t="n">
        <f aca="false">MAX(-G144,0)</f>
        <v>0</v>
      </c>
      <c r="J144" s="10" t="s">
        <v>62</v>
      </c>
    </row>
    <row r="145" customFormat="false" ht="15" hidden="false" customHeight="false" outlineLevel="0" collapsed="false">
      <c r="A145" s="10" t="n">
        <v>6</v>
      </c>
      <c r="B145" s="10" t="s">
        <v>93</v>
      </c>
      <c r="C145" s="10" t="n">
        <v>23</v>
      </c>
      <c r="D145" s="10" t="s">
        <v>88</v>
      </c>
      <c r="E145" s="11" t="n">
        <v>41.5</v>
      </c>
      <c r="F145" s="12" t="n">
        <v>0</v>
      </c>
      <c r="G145" s="13" t="n">
        <f aca="false">E145-F145</f>
        <v>41.5</v>
      </c>
      <c r="H145" s="13" t="n">
        <f aca="false">MAX(G145,0)</f>
        <v>41.5</v>
      </c>
      <c r="I145" s="13" t="n">
        <f aca="false">MAX(-G145,0)</f>
        <v>0</v>
      </c>
      <c r="J145" s="10" t="s">
        <v>62</v>
      </c>
    </row>
    <row r="146" customFormat="false" ht="15" hidden="false" customHeight="false" outlineLevel="0" collapsed="false">
      <c r="A146" s="15" t="n">
        <v>7</v>
      </c>
      <c r="B146" s="15" t="s">
        <v>94</v>
      </c>
      <c r="C146" s="15" t="n">
        <v>0</v>
      </c>
      <c r="D146" s="15" t="s">
        <v>61</v>
      </c>
      <c r="E146" s="16" t="n">
        <v>43.3</v>
      </c>
      <c r="F146" s="17" t="n">
        <v>0</v>
      </c>
      <c r="G146" s="18" t="n">
        <f aca="false">E146-F146</f>
        <v>43.3</v>
      </c>
      <c r="H146" s="18" t="n">
        <f aca="false">MAX(G146,0)</f>
        <v>43.3</v>
      </c>
      <c r="I146" s="18" t="n">
        <f aca="false">MAX(-G146,0)</f>
        <v>0</v>
      </c>
      <c r="J146" s="15" t="s">
        <v>62</v>
      </c>
    </row>
    <row r="147" customFormat="false" ht="15" hidden="false" customHeight="false" outlineLevel="0" collapsed="false">
      <c r="A147" s="15" t="n">
        <v>7</v>
      </c>
      <c r="B147" s="15" t="s">
        <v>94</v>
      </c>
      <c r="C147" s="15" t="n">
        <v>1</v>
      </c>
      <c r="D147" s="15" t="s">
        <v>63</v>
      </c>
      <c r="E147" s="16" t="n">
        <v>44.5</v>
      </c>
      <c r="F147" s="17" t="n">
        <v>0</v>
      </c>
      <c r="G147" s="18" t="n">
        <f aca="false">E147-F147</f>
        <v>44.5</v>
      </c>
      <c r="H147" s="18" t="n">
        <f aca="false">MAX(G147,0)</f>
        <v>44.5</v>
      </c>
      <c r="I147" s="18" t="n">
        <f aca="false">MAX(-G147,0)</f>
        <v>0</v>
      </c>
      <c r="J147" s="15" t="s">
        <v>62</v>
      </c>
    </row>
    <row r="148" customFormat="false" ht="15" hidden="false" customHeight="false" outlineLevel="0" collapsed="false">
      <c r="A148" s="15" t="n">
        <v>7</v>
      </c>
      <c r="B148" s="15" t="s">
        <v>94</v>
      </c>
      <c r="C148" s="15" t="n">
        <v>2</v>
      </c>
      <c r="D148" s="15" t="s">
        <v>64</v>
      </c>
      <c r="E148" s="16" t="n">
        <v>40.3</v>
      </c>
      <c r="F148" s="17" t="n">
        <v>0</v>
      </c>
      <c r="G148" s="18" t="n">
        <f aca="false">E148-F148</f>
        <v>40.3</v>
      </c>
      <c r="H148" s="18" t="n">
        <f aca="false">MAX(G148,0)</f>
        <v>40.3</v>
      </c>
      <c r="I148" s="18" t="n">
        <f aca="false">MAX(-G148,0)</f>
        <v>0</v>
      </c>
      <c r="J148" s="15" t="s">
        <v>62</v>
      </c>
    </row>
    <row r="149" customFormat="false" ht="15" hidden="false" customHeight="false" outlineLevel="0" collapsed="false">
      <c r="A149" s="15" t="n">
        <v>7</v>
      </c>
      <c r="B149" s="15" t="s">
        <v>94</v>
      </c>
      <c r="C149" s="15" t="n">
        <v>3</v>
      </c>
      <c r="D149" s="15" t="s">
        <v>65</v>
      </c>
      <c r="E149" s="16" t="n">
        <v>43.5</v>
      </c>
      <c r="F149" s="17" t="n">
        <v>0</v>
      </c>
      <c r="G149" s="18" t="n">
        <f aca="false">E149-F149</f>
        <v>43.5</v>
      </c>
      <c r="H149" s="18" t="n">
        <f aca="false">MAX(G149,0)</f>
        <v>43.5</v>
      </c>
      <c r="I149" s="18" t="n">
        <f aca="false">MAX(-G149,0)</f>
        <v>0</v>
      </c>
      <c r="J149" s="15" t="s">
        <v>62</v>
      </c>
    </row>
    <row r="150" customFormat="false" ht="15" hidden="false" customHeight="false" outlineLevel="0" collapsed="false">
      <c r="A150" s="15" t="n">
        <v>7</v>
      </c>
      <c r="B150" s="15" t="s">
        <v>94</v>
      </c>
      <c r="C150" s="15" t="n">
        <v>4</v>
      </c>
      <c r="D150" s="15" t="s">
        <v>66</v>
      </c>
      <c r="E150" s="16" t="n">
        <v>43</v>
      </c>
      <c r="F150" s="17" t="n">
        <v>0</v>
      </c>
      <c r="G150" s="18" t="n">
        <f aca="false">E150-F150</f>
        <v>43</v>
      </c>
      <c r="H150" s="18" t="n">
        <f aca="false">MAX(G150,0)</f>
        <v>43</v>
      </c>
      <c r="I150" s="18" t="n">
        <f aca="false">MAX(-G150,0)</f>
        <v>0</v>
      </c>
      <c r="J150" s="15" t="s">
        <v>62</v>
      </c>
    </row>
    <row r="151" customFormat="false" ht="15" hidden="false" customHeight="false" outlineLevel="0" collapsed="false">
      <c r="A151" s="15" t="n">
        <v>7</v>
      </c>
      <c r="B151" s="15" t="s">
        <v>94</v>
      </c>
      <c r="C151" s="15" t="n">
        <v>5</v>
      </c>
      <c r="D151" s="15" t="s">
        <v>67</v>
      </c>
      <c r="E151" s="16" t="n">
        <v>45.1</v>
      </c>
      <c r="F151" s="17" t="n">
        <v>0</v>
      </c>
      <c r="G151" s="18" t="n">
        <f aca="false">E151-F151</f>
        <v>45.1</v>
      </c>
      <c r="H151" s="18" t="n">
        <f aca="false">MAX(G151,0)</f>
        <v>45.1</v>
      </c>
      <c r="I151" s="18" t="n">
        <f aca="false">MAX(-G151,0)</f>
        <v>0</v>
      </c>
      <c r="J151" s="15" t="s">
        <v>62</v>
      </c>
    </row>
    <row r="152" customFormat="false" ht="15" hidden="false" customHeight="false" outlineLevel="0" collapsed="false">
      <c r="A152" s="15" t="n">
        <v>7</v>
      </c>
      <c r="B152" s="15" t="s">
        <v>94</v>
      </c>
      <c r="C152" s="15" t="n">
        <v>6</v>
      </c>
      <c r="D152" s="15" t="s">
        <v>68</v>
      </c>
      <c r="E152" s="16" t="n">
        <v>60.9</v>
      </c>
      <c r="F152" s="19" t="n">
        <v>28.4</v>
      </c>
      <c r="G152" s="18" t="n">
        <f aca="false">E152-F152</f>
        <v>32.5</v>
      </c>
      <c r="H152" s="18" t="n">
        <f aca="false">MAX(G152,0)</f>
        <v>32.5</v>
      </c>
      <c r="I152" s="18" t="n">
        <f aca="false">MAX(-G152,0)</f>
        <v>0</v>
      </c>
      <c r="J152" s="15" t="s">
        <v>69</v>
      </c>
    </row>
    <row r="153" customFormat="false" ht="15" hidden="false" customHeight="false" outlineLevel="0" collapsed="false">
      <c r="A153" s="15" t="n">
        <v>7</v>
      </c>
      <c r="B153" s="15" t="s">
        <v>94</v>
      </c>
      <c r="C153" s="15" t="n">
        <v>7</v>
      </c>
      <c r="D153" s="15" t="s">
        <v>70</v>
      </c>
      <c r="E153" s="16" t="n">
        <v>63.5</v>
      </c>
      <c r="F153" s="19" t="n">
        <v>39.8</v>
      </c>
      <c r="G153" s="18" t="n">
        <f aca="false">E153-F153</f>
        <v>23.7</v>
      </c>
      <c r="H153" s="18" t="n">
        <f aca="false">MAX(G153,0)</f>
        <v>23.7</v>
      </c>
      <c r="I153" s="18" t="n">
        <f aca="false">MAX(-G153,0)</f>
        <v>0</v>
      </c>
      <c r="J153" s="15" t="s">
        <v>69</v>
      </c>
    </row>
    <row r="154" customFormat="false" ht="15" hidden="false" customHeight="false" outlineLevel="0" collapsed="false">
      <c r="A154" s="15" t="n">
        <v>7</v>
      </c>
      <c r="B154" s="15" t="s">
        <v>94</v>
      </c>
      <c r="C154" s="15" t="n">
        <v>8</v>
      </c>
      <c r="D154" s="15" t="s">
        <v>71</v>
      </c>
      <c r="E154" s="16" t="n">
        <v>69.2</v>
      </c>
      <c r="F154" s="19" t="n">
        <v>67.1</v>
      </c>
      <c r="G154" s="18" t="n">
        <f aca="false">E154-F154</f>
        <v>2.10000000000001</v>
      </c>
      <c r="H154" s="18" t="n">
        <f aca="false">MAX(G154,0)</f>
        <v>2.10000000000001</v>
      </c>
      <c r="I154" s="18" t="n">
        <f aca="false">MAX(-G154,0)</f>
        <v>0</v>
      </c>
      <c r="J154" s="15" t="s">
        <v>69</v>
      </c>
    </row>
    <row r="155" customFormat="false" ht="15" hidden="false" customHeight="false" outlineLevel="0" collapsed="false">
      <c r="A155" s="15" t="n">
        <v>7</v>
      </c>
      <c r="B155" s="15" t="s">
        <v>94</v>
      </c>
      <c r="C155" s="15" t="n">
        <v>9</v>
      </c>
      <c r="D155" s="15" t="s">
        <v>72</v>
      </c>
      <c r="E155" s="16" t="n">
        <v>68.8</v>
      </c>
      <c r="F155" s="19" t="n">
        <v>89.4</v>
      </c>
      <c r="G155" s="18" t="n">
        <f aca="false">E155-F155</f>
        <v>-20.6</v>
      </c>
      <c r="H155" s="18" t="n">
        <f aca="false">MAX(G155,0)</f>
        <v>0</v>
      </c>
      <c r="I155" s="18" t="n">
        <f aca="false">MAX(-G155,0)</f>
        <v>20.6</v>
      </c>
      <c r="J155" s="15" t="s">
        <v>74</v>
      </c>
    </row>
    <row r="156" customFormat="false" ht="15" hidden="false" customHeight="false" outlineLevel="0" collapsed="false">
      <c r="A156" s="15" t="n">
        <v>7</v>
      </c>
      <c r="B156" s="15" t="s">
        <v>94</v>
      </c>
      <c r="C156" s="15" t="n">
        <v>10</v>
      </c>
      <c r="D156" s="15" t="s">
        <v>73</v>
      </c>
      <c r="E156" s="16" t="n">
        <v>73.3</v>
      </c>
      <c r="F156" s="19" t="n">
        <v>116</v>
      </c>
      <c r="G156" s="18" t="n">
        <f aca="false">E156-F156</f>
        <v>-42.7</v>
      </c>
      <c r="H156" s="18" t="n">
        <f aca="false">MAX(G156,0)</f>
        <v>0</v>
      </c>
      <c r="I156" s="18" t="n">
        <f aca="false">MAX(-G156,0)</f>
        <v>42.7</v>
      </c>
      <c r="J156" s="15" t="s">
        <v>74</v>
      </c>
    </row>
    <row r="157" customFormat="false" ht="15" hidden="false" customHeight="false" outlineLevel="0" collapsed="false">
      <c r="A157" s="15" t="n">
        <v>7</v>
      </c>
      <c r="B157" s="15" t="s">
        <v>94</v>
      </c>
      <c r="C157" s="15" t="n">
        <v>11</v>
      </c>
      <c r="D157" s="15" t="s">
        <v>75</v>
      </c>
      <c r="E157" s="16" t="n">
        <v>71</v>
      </c>
      <c r="F157" s="19" t="n">
        <v>137.6</v>
      </c>
      <c r="G157" s="18" t="n">
        <f aca="false">E157-F157</f>
        <v>-66.6</v>
      </c>
      <c r="H157" s="18" t="n">
        <f aca="false">MAX(G157,0)</f>
        <v>0</v>
      </c>
      <c r="I157" s="18" t="n">
        <f aca="false">MAX(-G157,0)</f>
        <v>66.6</v>
      </c>
      <c r="J157" s="15" t="s">
        <v>74</v>
      </c>
    </row>
    <row r="158" customFormat="false" ht="15" hidden="false" customHeight="false" outlineLevel="0" collapsed="false">
      <c r="A158" s="15" t="n">
        <v>7</v>
      </c>
      <c r="B158" s="15" t="s">
        <v>94</v>
      </c>
      <c r="C158" s="15" t="n">
        <v>12</v>
      </c>
      <c r="D158" s="15" t="s">
        <v>76</v>
      </c>
      <c r="E158" s="16" t="n">
        <v>68.2</v>
      </c>
      <c r="F158" s="19" t="n">
        <v>144.2</v>
      </c>
      <c r="G158" s="18" t="n">
        <f aca="false">E158-F158</f>
        <v>-76</v>
      </c>
      <c r="H158" s="18" t="n">
        <f aca="false">MAX(G158,0)</f>
        <v>0</v>
      </c>
      <c r="I158" s="18" t="n">
        <f aca="false">MAX(-G158,0)</f>
        <v>76</v>
      </c>
      <c r="J158" s="15" t="s">
        <v>77</v>
      </c>
    </row>
    <row r="159" customFormat="false" ht="15" hidden="false" customHeight="false" outlineLevel="0" collapsed="false">
      <c r="A159" s="15" t="n">
        <v>7</v>
      </c>
      <c r="B159" s="15" t="s">
        <v>94</v>
      </c>
      <c r="C159" s="15" t="n">
        <v>13</v>
      </c>
      <c r="D159" s="15" t="s">
        <v>78</v>
      </c>
      <c r="E159" s="16" t="n">
        <v>66.2</v>
      </c>
      <c r="F159" s="19" t="n">
        <v>140.2</v>
      </c>
      <c r="G159" s="18" t="n">
        <f aca="false">E159-F159</f>
        <v>-74</v>
      </c>
      <c r="H159" s="18" t="n">
        <f aca="false">MAX(G159,0)</f>
        <v>0</v>
      </c>
      <c r="I159" s="18" t="n">
        <f aca="false">MAX(-G159,0)</f>
        <v>74</v>
      </c>
      <c r="J159" s="15" t="s">
        <v>74</v>
      </c>
    </row>
    <row r="160" customFormat="false" ht="15" hidden="false" customHeight="false" outlineLevel="0" collapsed="false">
      <c r="A160" s="15" t="n">
        <v>7</v>
      </c>
      <c r="B160" s="15" t="s">
        <v>94</v>
      </c>
      <c r="C160" s="15" t="n">
        <v>14</v>
      </c>
      <c r="D160" s="15" t="s">
        <v>79</v>
      </c>
      <c r="E160" s="16" t="n">
        <v>41.2</v>
      </c>
      <c r="F160" s="19" t="n">
        <v>119.8</v>
      </c>
      <c r="G160" s="18" t="n">
        <f aca="false">E160-F160</f>
        <v>-78.6</v>
      </c>
      <c r="H160" s="18" t="n">
        <f aca="false">MAX(G160,0)</f>
        <v>0</v>
      </c>
      <c r="I160" s="18" t="n">
        <f aca="false">MAX(-G160,0)</f>
        <v>78.6</v>
      </c>
      <c r="J160" s="15" t="s">
        <v>74</v>
      </c>
    </row>
    <row r="161" customFormat="false" ht="15" hidden="false" customHeight="false" outlineLevel="0" collapsed="false">
      <c r="A161" s="15" t="n">
        <v>7</v>
      </c>
      <c r="B161" s="15" t="s">
        <v>94</v>
      </c>
      <c r="C161" s="15" t="n">
        <v>15</v>
      </c>
      <c r="D161" s="15" t="s">
        <v>80</v>
      </c>
      <c r="E161" s="16" t="n">
        <v>41.4</v>
      </c>
      <c r="F161" s="19" t="n">
        <v>91.6</v>
      </c>
      <c r="G161" s="18" t="n">
        <f aca="false">E161-F161</f>
        <v>-50.2</v>
      </c>
      <c r="H161" s="18" t="n">
        <f aca="false">MAX(G161,0)</f>
        <v>0</v>
      </c>
      <c r="I161" s="18" t="n">
        <f aca="false">MAX(-G161,0)</f>
        <v>50.2</v>
      </c>
      <c r="J161" s="15" t="s">
        <v>74</v>
      </c>
    </row>
    <row r="162" customFormat="false" ht="15" hidden="false" customHeight="false" outlineLevel="0" collapsed="false">
      <c r="A162" s="15" t="n">
        <v>7</v>
      </c>
      <c r="B162" s="15" t="s">
        <v>94</v>
      </c>
      <c r="C162" s="15" t="n">
        <v>16</v>
      </c>
      <c r="D162" s="15" t="s">
        <v>81</v>
      </c>
      <c r="E162" s="16" t="n">
        <v>44</v>
      </c>
      <c r="F162" s="19" t="n">
        <v>64.1</v>
      </c>
      <c r="G162" s="18" t="n">
        <f aca="false">E162-F162</f>
        <v>-20.1</v>
      </c>
      <c r="H162" s="18" t="n">
        <f aca="false">MAX(G162,0)</f>
        <v>0</v>
      </c>
      <c r="I162" s="18" t="n">
        <f aca="false">MAX(-G162,0)</f>
        <v>20.1</v>
      </c>
      <c r="J162" s="15" t="s">
        <v>74</v>
      </c>
    </row>
    <row r="163" customFormat="false" ht="15" hidden="false" customHeight="false" outlineLevel="0" collapsed="false">
      <c r="A163" s="15" t="n">
        <v>7</v>
      </c>
      <c r="B163" s="15" t="s">
        <v>94</v>
      </c>
      <c r="C163" s="15" t="n">
        <v>17</v>
      </c>
      <c r="D163" s="15" t="s">
        <v>82</v>
      </c>
      <c r="E163" s="16" t="n">
        <v>41.9</v>
      </c>
      <c r="F163" s="19" t="n">
        <v>44.4</v>
      </c>
      <c r="G163" s="18" t="n">
        <f aca="false">E163-F163</f>
        <v>-2.5</v>
      </c>
      <c r="H163" s="18" t="n">
        <f aca="false">MAX(G163,0)</f>
        <v>0</v>
      </c>
      <c r="I163" s="18" t="n">
        <f aca="false">MAX(-G163,0)</f>
        <v>2.5</v>
      </c>
      <c r="J163" s="15" t="s">
        <v>74</v>
      </c>
    </row>
    <row r="164" customFormat="false" ht="15" hidden="false" customHeight="false" outlineLevel="0" collapsed="false">
      <c r="A164" s="15" t="n">
        <v>7</v>
      </c>
      <c r="B164" s="15" t="s">
        <v>94</v>
      </c>
      <c r="C164" s="15" t="n">
        <v>18</v>
      </c>
      <c r="D164" s="15" t="s">
        <v>83</v>
      </c>
      <c r="E164" s="16" t="n">
        <v>40.4</v>
      </c>
      <c r="F164" s="19" t="n">
        <v>24.4</v>
      </c>
      <c r="G164" s="18" t="n">
        <f aca="false">E164-F164</f>
        <v>16</v>
      </c>
      <c r="H164" s="18" t="n">
        <f aca="false">MAX(G164,0)</f>
        <v>16</v>
      </c>
      <c r="I164" s="18" t="n">
        <f aca="false">MAX(-G164,0)</f>
        <v>0</v>
      </c>
      <c r="J164" s="15" t="s">
        <v>69</v>
      </c>
    </row>
    <row r="165" customFormat="false" ht="15" hidden="false" customHeight="false" outlineLevel="0" collapsed="false">
      <c r="A165" s="15" t="n">
        <v>7</v>
      </c>
      <c r="B165" s="15" t="s">
        <v>94</v>
      </c>
      <c r="C165" s="15" t="n">
        <v>19</v>
      </c>
      <c r="D165" s="15" t="s">
        <v>84</v>
      </c>
      <c r="E165" s="16" t="n">
        <v>46</v>
      </c>
      <c r="F165" s="17" t="n">
        <v>0</v>
      </c>
      <c r="G165" s="18" t="n">
        <f aca="false">E165-F165</f>
        <v>46</v>
      </c>
      <c r="H165" s="18" t="n">
        <f aca="false">MAX(G165,0)</f>
        <v>46</v>
      </c>
      <c r="I165" s="18" t="n">
        <f aca="false">MAX(-G165,0)</f>
        <v>0</v>
      </c>
      <c r="J165" s="15" t="s">
        <v>69</v>
      </c>
    </row>
    <row r="166" customFormat="false" ht="15" hidden="false" customHeight="false" outlineLevel="0" collapsed="false">
      <c r="A166" s="15" t="n">
        <v>7</v>
      </c>
      <c r="B166" s="15" t="s">
        <v>94</v>
      </c>
      <c r="C166" s="15" t="n">
        <v>20</v>
      </c>
      <c r="D166" s="15" t="s">
        <v>85</v>
      </c>
      <c r="E166" s="16" t="n">
        <v>46</v>
      </c>
      <c r="F166" s="17" t="n">
        <v>0</v>
      </c>
      <c r="G166" s="18" t="n">
        <f aca="false">E166-F166</f>
        <v>46</v>
      </c>
      <c r="H166" s="18" t="n">
        <f aca="false">MAX(G166,0)</f>
        <v>46</v>
      </c>
      <c r="I166" s="18" t="n">
        <f aca="false">MAX(-G166,0)</f>
        <v>0</v>
      </c>
      <c r="J166" s="15" t="s">
        <v>69</v>
      </c>
    </row>
    <row r="167" customFormat="false" ht="15" hidden="false" customHeight="false" outlineLevel="0" collapsed="false">
      <c r="A167" s="15" t="n">
        <v>7</v>
      </c>
      <c r="B167" s="15" t="s">
        <v>94</v>
      </c>
      <c r="C167" s="15" t="n">
        <v>21</v>
      </c>
      <c r="D167" s="15" t="s">
        <v>86</v>
      </c>
      <c r="E167" s="16" t="n">
        <v>40.4</v>
      </c>
      <c r="F167" s="17" t="n">
        <v>0</v>
      </c>
      <c r="G167" s="18" t="n">
        <f aca="false">E167-F167</f>
        <v>40.4</v>
      </c>
      <c r="H167" s="18" t="n">
        <f aca="false">MAX(G167,0)</f>
        <v>40.4</v>
      </c>
      <c r="I167" s="18" t="n">
        <f aca="false">MAX(-G167,0)</f>
        <v>0</v>
      </c>
      <c r="J167" s="15" t="s">
        <v>69</v>
      </c>
    </row>
    <row r="168" customFormat="false" ht="15" hidden="false" customHeight="false" outlineLevel="0" collapsed="false">
      <c r="A168" s="15" t="n">
        <v>7</v>
      </c>
      <c r="B168" s="15" t="s">
        <v>94</v>
      </c>
      <c r="C168" s="15" t="n">
        <v>22</v>
      </c>
      <c r="D168" s="15" t="s">
        <v>87</v>
      </c>
      <c r="E168" s="16" t="n">
        <v>41.3</v>
      </c>
      <c r="F168" s="17" t="n">
        <v>0</v>
      </c>
      <c r="G168" s="18" t="n">
        <f aca="false">E168-F168</f>
        <v>41.3</v>
      </c>
      <c r="H168" s="18" t="n">
        <f aca="false">MAX(G168,0)</f>
        <v>41.3</v>
      </c>
      <c r="I168" s="18" t="n">
        <f aca="false">MAX(-G168,0)</f>
        <v>0</v>
      </c>
      <c r="J168" s="15" t="s">
        <v>62</v>
      </c>
    </row>
    <row r="169" customFormat="false" ht="15" hidden="false" customHeight="false" outlineLevel="0" collapsed="false">
      <c r="A169" s="15" t="n">
        <v>7</v>
      </c>
      <c r="B169" s="15" t="s">
        <v>94</v>
      </c>
      <c r="C169" s="15" t="n">
        <v>23</v>
      </c>
      <c r="D169" s="15" t="s">
        <v>88</v>
      </c>
      <c r="E169" s="16" t="n">
        <v>41.6</v>
      </c>
      <c r="F169" s="17" t="n">
        <v>0</v>
      </c>
      <c r="G169" s="18" t="n">
        <f aca="false">E169-F169</f>
        <v>41.6</v>
      </c>
      <c r="H169" s="18" t="n">
        <f aca="false">MAX(G169,0)</f>
        <v>41.6</v>
      </c>
      <c r="I169" s="18" t="n">
        <f aca="false">MAX(-G169,0)</f>
        <v>0</v>
      </c>
      <c r="J169" s="15"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4"/>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4"/>
    <col collapsed="false" customWidth="true" hidden="false" outlineLevel="0" max="9" min="8" style="0" width="13"/>
    <col collapsed="false" customWidth="true" hidden="false" outlineLevel="0" max="10" min="10" style="0" width="14"/>
    <col collapsed="false" customWidth="true" hidden="false" outlineLevel="0" max="11" min="11" style="0" width="13"/>
    <col collapsed="false" customWidth="true" hidden="false" outlineLevel="0" max="12" min="12" style="0" width="10"/>
    <col collapsed="false" customWidth="true" hidden="false" outlineLevel="0" max="13" min="13" style="0" width="12"/>
    <col collapsed="false" customWidth="true" hidden="false" outlineLevel="0" max="14" min="14" style="0" width="14"/>
    <col collapsed="false" customWidth="true" hidden="false" outlineLevel="0" max="15" min="15" style="0" width="28"/>
  </cols>
  <sheetData>
    <row r="1" customFormat="false" ht="27.75" hidden="false" customHeight="true" outlineLevel="0" collapsed="false">
      <c r="A1" s="20" t="s">
        <v>95</v>
      </c>
      <c r="B1" s="20" t="s">
        <v>96</v>
      </c>
      <c r="C1" s="20" t="s">
        <v>97</v>
      </c>
      <c r="D1" s="20" t="s">
        <v>98</v>
      </c>
      <c r="E1" s="20" t="s">
        <v>99</v>
      </c>
      <c r="F1" s="20" t="s">
        <v>100</v>
      </c>
      <c r="G1" s="20" t="s">
        <v>101</v>
      </c>
      <c r="H1" s="20" t="s">
        <v>102</v>
      </c>
      <c r="I1" s="20" t="s">
        <v>103</v>
      </c>
      <c r="J1" s="20" t="s">
        <v>104</v>
      </c>
      <c r="K1" s="20" t="s">
        <v>105</v>
      </c>
      <c r="L1" s="20" t="s">
        <v>106</v>
      </c>
      <c r="M1" s="20" t="s">
        <v>107</v>
      </c>
      <c r="N1" s="20" t="s">
        <v>108</v>
      </c>
      <c r="O1" s="20" t="s">
        <v>59</v>
      </c>
    </row>
    <row r="2" customFormat="false" ht="15" hidden="false" customHeight="true" outlineLevel="0" collapsed="false">
      <c r="A2" s="21" t="s">
        <v>109</v>
      </c>
      <c r="B2" s="13" t="n">
        <v>31</v>
      </c>
      <c r="C2" s="22" t="n">
        <v>68200</v>
      </c>
      <c r="D2" s="22" t="n">
        <v>49104</v>
      </c>
      <c r="E2" s="22" t="n">
        <v>19096</v>
      </c>
      <c r="F2" s="22" t="n">
        <v>7800</v>
      </c>
      <c r="G2" s="22" t="n">
        <v>5070</v>
      </c>
      <c r="H2" s="22" t="n">
        <f aca="false">C2-G2</f>
        <v>63130</v>
      </c>
      <c r="I2" s="22" t="n">
        <v>98</v>
      </c>
      <c r="J2" s="22" t="n">
        <v>1489215</v>
      </c>
      <c r="K2" s="22" t="n">
        <v>83300</v>
      </c>
      <c r="L2" s="22" t="n">
        <v>2200</v>
      </c>
      <c r="M2" s="22" t="n">
        <v>162400</v>
      </c>
      <c r="N2" s="22" t="n">
        <f aca="false">J2+K2+L2+M2</f>
        <v>1737115</v>
      </c>
      <c r="O2" s="13" t="s">
        <v>110</v>
      </c>
    </row>
    <row r="3" customFormat="false" ht="15" hidden="false" customHeight="true" outlineLevel="0" collapsed="false">
      <c r="A3" s="23" t="s">
        <v>111</v>
      </c>
      <c r="B3" s="18" t="n">
        <v>28</v>
      </c>
      <c r="C3" s="24" t="n">
        <v>62100</v>
      </c>
      <c r="D3" s="24" t="n">
        <v>45333</v>
      </c>
      <c r="E3" s="24" t="n">
        <v>16767</v>
      </c>
      <c r="F3" s="24" t="n">
        <v>7200</v>
      </c>
      <c r="G3" s="24" t="n">
        <v>4680</v>
      </c>
      <c r="H3" s="24" t="n">
        <f aca="false">C3-G3</f>
        <v>57420</v>
      </c>
      <c r="I3" s="24" t="n">
        <v>95</v>
      </c>
      <c r="J3" s="24" t="n">
        <v>1363033</v>
      </c>
      <c r="K3" s="24" t="n">
        <v>80750</v>
      </c>
      <c r="L3" s="24" t="n">
        <v>2200</v>
      </c>
      <c r="M3" s="24" t="n">
        <v>116000</v>
      </c>
      <c r="N3" s="24" t="n">
        <f aca="false">J3+K3+L3+M3</f>
        <v>1561983</v>
      </c>
      <c r="O3" s="18" t="s">
        <v>112</v>
      </c>
    </row>
    <row r="4" customFormat="false" ht="15" hidden="false" customHeight="true" outlineLevel="0" collapsed="false">
      <c r="A4" s="21" t="s">
        <v>113</v>
      </c>
      <c r="B4" s="13" t="n">
        <v>31</v>
      </c>
      <c r="C4" s="22" t="n">
        <v>71400</v>
      </c>
      <c r="D4" s="22" t="n">
        <v>49980</v>
      </c>
      <c r="E4" s="22" t="n">
        <v>21420</v>
      </c>
      <c r="F4" s="22" t="n">
        <v>5800</v>
      </c>
      <c r="G4" s="22" t="n">
        <v>3770</v>
      </c>
      <c r="H4" s="22" t="n">
        <f aca="false">C4-G4</f>
        <v>67630</v>
      </c>
      <c r="I4" s="22" t="n">
        <v>100</v>
      </c>
      <c r="J4" s="22" t="n">
        <v>1542954</v>
      </c>
      <c r="K4" s="22" t="n">
        <v>85000</v>
      </c>
      <c r="L4" s="22" t="n">
        <v>2200</v>
      </c>
      <c r="M4" s="22" t="n">
        <v>255200</v>
      </c>
      <c r="N4" s="22" t="n">
        <f aca="false">J4+K4+L4+M4</f>
        <v>1885354</v>
      </c>
      <c r="O4" s="13" t="s">
        <v>114</v>
      </c>
    </row>
    <row r="5" customFormat="false" ht="15" hidden="false" customHeight="true" outlineLevel="0" collapsed="false">
      <c r="A5" s="23" t="s">
        <v>115</v>
      </c>
      <c r="B5" s="18" t="n">
        <v>30</v>
      </c>
      <c r="C5" s="24" t="n">
        <v>70800</v>
      </c>
      <c r="D5" s="24" t="n">
        <v>48144</v>
      </c>
      <c r="E5" s="24" t="n">
        <v>22656</v>
      </c>
      <c r="F5" s="24" t="n">
        <v>4900</v>
      </c>
      <c r="G5" s="24" t="n">
        <v>3185</v>
      </c>
      <c r="H5" s="24" t="n">
        <f aca="false">C5-G5</f>
        <v>67615</v>
      </c>
      <c r="I5" s="24" t="n">
        <v>102</v>
      </c>
      <c r="J5" s="24" t="n">
        <v>1513987</v>
      </c>
      <c r="K5" s="24" t="n">
        <v>86700</v>
      </c>
      <c r="L5" s="24" t="n">
        <v>2200</v>
      </c>
      <c r="M5" s="24" t="n">
        <v>440800</v>
      </c>
      <c r="N5" s="24" t="n">
        <f aca="false">J5+K5+L5+M5</f>
        <v>2043687</v>
      </c>
      <c r="O5" s="18" t="s">
        <v>116</v>
      </c>
    </row>
    <row r="6" customFormat="false" ht="15" hidden="false" customHeight="true" outlineLevel="0" collapsed="false">
      <c r="A6" s="21" t="s">
        <v>117</v>
      </c>
      <c r="B6" s="13" t="n">
        <v>31</v>
      </c>
      <c r="C6" s="22" t="n">
        <v>69500</v>
      </c>
      <c r="D6" s="22" t="n">
        <v>47955</v>
      </c>
      <c r="E6" s="22" t="n">
        <v>21545</v>
      </c>
      <c r="F6" s="22" t="n">
        <v>5200</v>
      </c>
      <c r="G6" s="22" t="n">
        <v>3380</v>
      </c>
      <c r="H6" s="22" t="n">
        <f aca="false">C6-G6</f>
        <v>66120</v>
      </c>
      <c r="I6" s="22" t="n">
        <v>99</v>
      </c>
      <c r="J6" s="22" t="n">
        <v>1494041</v>
      </c>
      <c r="K6" s="22" t="n">
        <v>84150</v>
      </c>
      <c r="L6" s="22" t="n">
        <v>2200</v>
      </c>
      <c r="M6" s="22" t="n">
        <v>359600</v>
      </c>
      <c r="N6" s="22" t="n">
        <f aca="false">J6+K6+L6+M6</f>
        <v>1939991</v>
      </c>
      <c r="O6" s="13" t="s">
        <v>118</v>
      </c>
    </row>
    <row r="7" customFormat="false" ht="15" hidden="false" customHeight="true" outlineLevel="0" collapsed="false">
      <c r="A7" s="23" t="s">
        <v>119</v>
      </c>
      <c r="B7" s="18" t="n">
        <v>30</v>
      </c>
      <c r="C7" s="24" t="n">
        <v>65300</v>
      </c>
      <c r="D7" s="24" t="n">
        <v>46363</v>
      </c>
      <c r="E7" s="24" t="n">
        <v>18937</v>
      </c>
      <c r="F7" s="24" t="n">
        <v>6400</v>
      </c>
      <c r="G7" s="24" t="n">
        <v>4160</v>
      </c>
      <c r="H7" s="24" t="n">
        <f aca="false">C7-G7</f>
        <v>61140</v>
      </c>
      <c r="I7" s="24" t="n">
        <v>96</v>
      </c>
      <c r="J7" s="24" t="n">
        <v>1418512</v>
      </c>
      <c r="K7" s="24" t="n">
        <v>81600</v>
      </c>
      <c r="L7" s="24" t="n">
        <v>2200</v>
      </c>
      <c r="M7" s="24" t="n">
        <v>139200</v>
      </c>
      <c r="N7" s="24" t="n">
        <f aca="false">J7+K7+L7+M7</f>
        <v>1641512</v>
      </c>
      <c r="O7" s="18" t="s">
        <v>120</v>
      </c>
    </row>
    <row r="8" customFormat="false" ht="15" hidden="false" customHeight="true" outlineLevel="0" collapsed="false">
      <c r="A8" s="21" t="s">
        <v>121</v>
      </c>
      <c r="B8" s="13" t="n">
        <v>31</v>
      </c>
      <c r="C8" s="22" t="n">
        <v>66800</v>
      </c>
      <c r="D8" s="22" t="n">
        <v>48096</v>
      </c>
      <c r="E8" s="22" t="n">
        <v>18704</v>
      </c>
      <c r="F8" s="22" t="n">
        <v>6600</v>
      </c>
      <c r="G8" s="22" t="n">
        <v>4290</v>
      </c>
      <c r="H8" s="22" t="n">
        <f aca="false">C8-G8</f>
        <v>62510</v>
      </c>
      <c r="I8" s="22" t="n">
        <v>97</v>
      </c>
      <c r="J8" s="22" t="n">
        <v>1458645</v>
      </c>
      <c r="K8" s="22" t="n">
        <v>82450</v>
      </c>
      <c r="L8" s="22" t="n">
        <v>2200</v>
      </c>
      <c r="M8" s="22" t="n">
        <v>127600</v>
      </c>
      <c r="N8" s="22" t="n">
        <f aca="false">J8+K8+L8+M8</f>
        <v>1670895</v>
      </c>
      <c r="O8" s="13" t="s">
        <v>122</v>
      </c>
    </row>
    <row r="9" customFormat="false" ht="15" hidden="false" customHeight="true" outlineLevel="0" collapsed="false">
      <c r="A9" s="23" t="s">
        <v>123</v>
      </c>
      <c r="B9" s="18" t="n">
        <v>31</v>
      </c>
      <c r="C9" s="24" t="n">
        <v>67200</v>
      </c>
      <c r="D9" s="24" t="n">
        <v>48384</v>
      </c>
      <c r="E9" s="24" t="n">
        <v>18816</v>
      </c>
      <c r="F9" s="24" t="n">
        <v>6900</v>
      </c>
      <c r="G9" s="24" t="n">
        <v>4485</v>
      </c>
      <c r="H9" s="24" t="n">
        <f aca="false">C9-G9</f>
        <v>62715</v>
      </c>
      <c r="I9" s="24" t="n">
        <v>97</v>
      </c>
      <c r="J9" s="24" t="n">
        <v>1467379</v>
      </c>
      <c r="K9" s="24" t="n">
        <v>82450</v>
      </c>
      <c r="L9" s="24" t="n">
        <v>2200</v>
      </c>
      <c r="M9" s="24" t="n">
        <v>104400</v>
      </c>
      <c r="N9" s="24" t="n">
        <f aca="false">J9+K9+L9+M9</f>
        <v>1656429</v>
      </c>
      <c r="O9" s="18" t="s">
        <v>112</v>
      </c>
    </row>
    <row r="10" customFormat="false" ht="15" hidden="false" customHeight="true" outlineLevel="0" collapsed="false">
      <c r="A10" s="21" t="s">
        <v>124</v>
      </c>
      <c r="B10" s="13" t="n">
        <v>30</v>
      </c>
      <c r="C10" s="22" t="n">
        <v>68400</v>
      </c>
      <c r="D10" s="22" t="n">
        <v>49932</v>
      </c>
      <c r="E10" s="22" t="n">
        <v>18468</v>
      </c>
      <c r="F10" s="22" t="n">
        <v>7400</v>
      </c>
      <c r="G10" s="22" t="n">
        <v>4810</v>
      </c>
      <c r="H10" s="22" t="n">
        <f aca="false">C10-G10</f>
        <v>63590</v>
      </c>
      <c r="I10" s="22" t="n">
        <v>98</v>
      </c>
      <c r="J10" s="22" t="n">
        <v>1501312</v>
      </c>
      <c r="K10" s="22" t="n">
        <v>83300</v>
      </c>
      <c r="L10" s="22" t="n">
        <v>2200</v>
      </c>
      <c r="M10" s="22" t="n">
        <v>92800</v>
      </c>
      <c r="N10" s="22" t="n">
        <f aca="false">J10+K10+L10+M10</f>
        <v>1679612</v>
      </c>
      <c r="O10" s="13" t="s">
        <v>125</v>
      </c>
    </row>
    <row r="11" customFormat="false" ht="15" hidden="false" customHeight="true" outlineLevel="0" collapsed="false">
      <c r="A11" s="23" t="s">
        <v>126</v>
      </c>
      <c r="B11" s="18" t="n">
        <v>31</v>
      </c>
      <c r="C11" s="24" t="n">
        <v>72100</v>
      </c>
      <c r="D11" s="24" t="n">
        <v>50470</v>
      </c>
      <c r="E11" s="24" t="n">
        <v>21630</v>
      </c>
      <c r="F11" s="24" t="n">
        <v>5600</v>
      </c>
      <c r="G11" s="24" t="n">
        <v>3640</v>
      </c>
      <c r="H11" s="24" t="n">
        <f aca="false">C11-G11</f>
        <v>68460</v>
      </c>
      <c r="I11" s="24" t="n">
        <v>103</v>
      </c>
      <c r="J11" s="24" t="n">
        <v>1558081</v>
      </c>
      <c r="K11" s="24" t="n">
        <v>87550</v>
      </c>
      <c r="L11" s="24" t="n">
        <v>2200</v>
      </c>
      <c r="M11" s="24" t="n">
        <v>324800</v>
      </c>
      <c r="N11" s="24" t="n">
        <f aca="false">J11+K11+L11+M11</f>
        <v>1972631</v>
      </c>
      <c r="O11" s="18" t="s">
        <v>127</v>
      </c>
    </row>
    <row r="12" customFormat="false" ht="15" hidden="false" customHeight="true" outlineLevel="0" collapsed="false">
      <c r="A12" s="21" t="s">
        <v>128</v>
      </c>
      <c r="B12" s="13" t="n">
        <v>30</v>
      </c>
      <c r="C12" s="22" t="n">
        <v>71600</v>
      </c>
      <c r="D12" s="22" t="n">
        <v>49404</v>
      </c>
      <c r="E12" s="22" t="n">
        <v>22196</v>
      </c>
      <c r="F12" s="22" t="n">
        <v>4800</v>
      </c>
      <c r="G12" s="22" t="n">
        <v>3120</v>
      </c>
      <c r="H12" s="22" t="n">
        <f aca="false">C12-G12</f>
        <v>68480</v>
      </c>
      <c r="I12" s="22" t="n">
        <v>104</v>
      </c>
      <c r="J12" s="22" t="n">
        <v>1539185</v>
      </c>
      <c r="K12" s="22" t="n">
        <v>88400</v>
      </c>
      <c r="L12" s="22" t="n">
        <v>2200</v>
      </c>
      <c r="M12" s="22" t="n">
        <v>406000</v>
      </c>
      <c r="N12" s="22" t="n">
        <f aca="false">J12+K12+L12+M12</f>
        <v>2035785</v>
      </c>
      <c r="O12" s="13" t="s">
        <v>129</v>
      </c>
    </row>
    <row r="13" customFormat="false" ht="15" hidden="false" customHeight="true" outlineLevel="0" collapsed="false">
      <c r="A13" s="23" t="s">
        <v>130</v>
      </c>
      <c r="B13" s="18" t="n">
        <v>31</v>
      </c>
      <c r="C13" s="24" t="n">
        <v>67900</v>
      </c>
      <c r="D13" s="24" t="n">
        <v>48209</v>
      </c>
      <c r="E13" s="24" t="n">
        <v>19691</v>
      </c>
      <c r="F13" s="24" t="n">
        <v>6800</v>
      </c>
      <c r="G13" s="24" t="n">
        <v>4420</v>
      </c>
      <c r="H13" s="24" t="n">
        <f aca="false">C13-G13</f>
        <v>63480</v>
      </c>
      <c r="I13" s="24" t="n">
        <v>96</v>
      </c>
      <c r="J13" s="24" t="n">
        <v>1474992</v>
      </c>
      <c r="K13" s="24" t="n">
        <v>81600</v>
      </c>
      <c r="L13" s="24" t="n">
        <v>2200</v>
      </c>
      <c r="M13" s="24" t="n">
        <v>174000</v>
      </c>
      <c r="N13" s="24" t="n">
        <f aca="false">J13+K13+L13+M13</f>
        <v>1732792</v>
      </c>
      <c r="O13" s="18" t="s">
        <v>131</v>
      </c>
    </row>
    <row r="14" customFormat="false" ht="15.75" hidden="false" customHeight="true" outlineLevel="0" collapsed="false">
      <c r="A14" s="25" t="s">
        <v>132</v>
      </c>
      <c r="B14" s="25"/>
      <c r="C14" s="26" t="n">
        <f aca="false">SUM(C2:C13)</f>
        <v>821300</v>
      </c>
      <c r="D14" s="26" t="n">
        <f aca="false">SUM(D2:D13)</f>
        <v>581374</v>
      </c>
      <c r="E14" s="26" t="n">
        <f aca="false">SUM(E2:E13)</f>
        <v>239926</v>
      </c>
      <c r="F14" s="26" t="n">
        <f aca="false">SUM(F2:F13)</f>
        <v>75400</v>
      </c>
      <c r="G14" s="26" t="n">
        <f aca="false">SUM(G2:G13)</f>
        <v>49010</v>
      </c>
      <c r="H14" s="26" t="n">
        <f aca="false">SUM(H2:H13)</f>
        <v>772290</v>
      </c>
      <c r="I14" s="26" t="n">
        <f aca="false">AVERAGE(I2:I13)</f>
        <v>98.75</v>
      </c>
      <c r="J14" s="26" t="n">
        <f aca="false">SUM(J2:J13)</f>
        <v>17821336</v>
      </c>
      <c r="K14" s="26" t="n">
        <f aca="false">SUM(K2:K13)</f>
        <v>1007250</v>
      </c>
      <c r="L14" s="26" t="n">
        <f aca="false">SUM(L2:L13)</f>
        <v>26400</v>
      </c>
      <c r="M14" s="26" t="n">
        <f aca="false">SUM(M2:M13)</f>
        <v>2702800</v>
      </c>
      <c r="N14" s="26" t="n">
        <f aca="false">SUM(N2:N13)</f>
        <v>21557786</v>
      </c>
      <c r="O14"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8"/>
    <col collapsed="false" customWidth="true" hidden="false" outlineLevel="0" max="6" min="4" style="0" width="14"/>
  </cols>
  <sheetData>
    <row r="1" customFormat="false" ht="15.75" hidden="false" customHeight="true" outlineLevel="0" collapsed="false">
      <c r="A1" s="3" t="s">
        <v>133</v>
      </c>
      <c r="B1" s="3"/>
      <c r="C1" s="3"/>
      <c r="D1" s="3"/>
      <c r="E1" s="3"/>
      <c r="F1" s="3"/>
    </row>
    <row r="2" customFormat="false" ht="15.75" hidden="false" customHeight="true" outlineLevel="0" collapsed="false">
      <c r="A2" s="3" t="s">
        <v>134</v>
      </c>
      <c r="B2" s="3"/>
      <c r="C2" s="3"/>
      <c r="D2" s="3"/>
      <c r="E2" s="3"/>
      <c r="F2" s="3"/>
    </row>
    <row r="3" customFormat="false" ht="15.75" hidden="false" customHeight="true" outlineLevel="0" collapsed="false">
      <c r="A3" s="3" t="s">
        <v>134</v>
      </c>
      <c r="B3" s="3"/>
      <c r="C3" s="3"/>
      <c r="D3" s="3"/>
      <c r="E3" s="3"/>
      <c r="F3" s="3"/>
    </row>
    <row r="4" customFormat="false" ht="15" hidden="false" customHeight="true" outlineLevel="0" collapsed="false">
      <c r="A4" s="27" t="s">
        <v>135</v>
      </c>
      <c r="B4" s="28" t="n">
        <v>68900</v>
      </c>
      <c r="C4" s="29" t="s">
        <v>136</v>
      </c>
      <c r="D4" s="30" t="s">
        <v>137</v>
      </c>
      <c r="E4" s="30"/>
      <c r="F4" s="30"/>
    </row>
    <row r="5" customFormat="false" ht="15" hidden="false" customHeight="true" outlineLevel="0" collapsed="false">
      <c r="A5" s="27" t="s">
        <v>138</v>
      </c>
      <c r="B5" s="28" t="n">
        <v>0.71</v>
      </c>
      <c r="C5" s="29" t="s">
        <v>139</v>
      </c>
      <c r="D5" s="30" t="s">
        <v>140</v>
      </c>
      <c r="E5" s="30"/>
      <c r="F5" s="30"/>
    </row>
    <row r="6" customFormat="false" ht="15" hidden="false" customHeight="true" outlineLevel="0" collapsed="false">
      <c r="A6" s="27" t="s">
        <v>141</v>
      </c>
      <c r="B6" s="28" t="n">
        <v>110</v>
      </c>
      <c r="C6" s="29" t="s">
        <v>142</v>
      </c>
      <c r="D6" s="30" t="s">
        <v>143</v>
      </c>
      <c r="E6" s="30"/>
      <c r="F6" s="30"/>
    </row>
    <row r="7" customFormat="false" ht="15" hidden="false" customHeight="true" outlineLevel="0" collapsed="false">
      <c r="A7" s="27" t="s">
        <v>144</v>
      </c>
      <c r="B7" s="28" t="n">
        <v>100</v>
      </c>
      <c r="C7" s="29" t="s">
        <v>142</v>
      </c>
      <c r="D7" s="30" t="s">
        <v>145</v>
      </c>
      <c r="E7" s="30"/>
      <c r="F7" s="30"/>
    </row>
    <row r="8" customFormat="false" ht="15" hidden="false" customHeight="true" outlineLevel="0" collapsed="false">
      <c r="A8" s="27" t="s">
        <v>146</v>
      </c>
      <c r="B8" s="28" t="n">
        <v>25</v>
      </c>
      <c r="C8" s="29" t="s">
        <v>147</v>
      </c>
      <c r="D8" s="30" t="s">
        <v>148</v>
      </c>
      <c r="E8" s="30"/>
      <c r="F8" s="30"/>
    </row>
    <row r="9" customFormat="false" ht="15" hidden="false" customHeight="true" outlineLevel="0" collapsed="false">
      <c r="A9" s="27" t="s">
        <v>149</v>
      </c>
      <c r="B9" s="28" t="n">
        <v>13.7</v>
      </c>
      <c r="C9" s="29" t="s">
        <v>147</v>
      </c>
      <c r="D9" s="30" t="s">
        <v>150</v>
      </c>
      <c r="E9" s="30"/>
      <c r="F9" s="30"/>
    </row>
    <row r="10" customFormat="false" ht="15" hidden="false" customHeight="true" outlineLevel="0" collapsed="false">
      <c r="A10" s="27" t="s">
        <v>151</v>
      </c>
      <c r="B10" s="28" t="n">
        <v>850</v>
      </c>
      <c r="C10" s="29" t="s">
        <v>147</v>
      </c>
      <c r="D10" s="30" t="s">
        <v>152</v>
      </c>
      <c r="E10" s="30"/>
      <c r="F10" s="30"/>
    </row>
    <row r="11" customFormat="false" ht="15" hidden="false" customHeight="true" outlineLevel="0" collapsed="false">
      <c r="A11" s="27" t="s">
        <v>153</v>
      </c>
      <c r="B11" s="28" t="n">
        <v>16</v>
      </c>
      <c r="C11" s="29" t="s">
        <v>11</v>
      </c>
      <c r="D11" s="30" t="s">
        <v>154</v>
      </c>
      <c r="E11" s="30"/>
      <c r="F11" s="30"/>
    </row>
    <row r="13" customFormat="false" ht="15.75" hidden="false" customHeight="true" outlineLevel="0" collapsed="false">
      <c r="A13" s="3" t="s">
        <v>155</v>
      </c>
      <c r="B13" s="3"/>
      <c r="C13" s="3"/>
      <c r="D13" s="3"/>
      <c r="E13" s="3"/>
      <c r="F13" s="3"/>
    </row>
    <row r="14" customFormat="false" ht="15" hidden="false" customHeight="true" outlineLevel="0" collapsed="false">
      <c r="A14" s="31" t="s">
        <v>156</v>
      </c>
      <c r="B14" s="32" t="n">
        <v>200</v>
      </c>
      <c r="C14" s="29" t="s">
        <v>17</v>
      </c>
      <c r="D14" s="30" t="s">
        <v>157</v>
      </c>
      <c r="E14" s="30"/>
      <c r="F14" s="30"/>
    </row>
    <row r="15" customFormat="false" ht="15" hidden="false" customHeight="true" outlineLevel="0" collapsed="false">
      <c r="A15" s="31" t="s">
        <v>158</v>
      </c>
      <c r="B15" s="32" t="n">
        <v>200</v>
      </c>
      <c r="C15" s="29" t="s">
        <v>136</v>
      </c>
      <c r="D15" s="30" t="s">
        <v>159</v>
      </c>
      <c r="E15" s="30"/>
      <c r="F15" s="30"/>
    </row>
    <row r="16" customFormat="false" ht="15" hidden="false" customHeight="true" outlineLevel="0" collapsed="false">
      <c r="A16" s="31" t="s">
        <v>160</v>
      </c>
      <c r="B16" s="32" t="n">
        <v>0.65</v>
      </c>
      <c r="C16" s="29" t="s">
        <v>139</v>
      </c>
      <c r="D16" s="30" t="s">
        <v>161</v>
      </c>
      <c r="E16" s="30"/>
      <c r="F16" s="30"/>
    </row>
    <row r="17" customFormat="false" ht="15" hidden="false" customHeight="true" outlineLevel="0" collapsed="false">
      <c r="A17" s="31" t="s">
        <v>162</v>
      </c>
      <c r="B17" s="32" t="n">
        <v>70</v>
      </c>
      <c r="C17" s="29" t="s">
        <v>136</v>
      </c>
      <c r="D17" s="30" t="s">
        <v>163</v>
      </c>
      <c r="E17" s="30"/>
      <c r="F17" s="30"/>
    </row>
    <row r="18" customFormat="false" ht="15" hidden="false" customHeight="true" outlineLevel="0" collapsed="false">
      <c r="A18" s="31" t="s">
        <v>164</v>
      </c>
      <c r="B18" s="32" t="n">
        <v>5</v>
      </c>
      <c r="C18" s="29" t="s">
        <v>147</v>
      </c>
      <c r="D18" s="30" t="s">
        <v>165</v>
      </c>
      <c r="E18" s="30"/>
      <c r="F18" s="30"/>
    </row>
    <row r="20" customFormat="false" ht="15.75" hidden="false" customHeight="true" outlineLevel="0" collapsed="false">
      <c r="A20" s="3" t="s">
        <v>166</v>
      </c>
      <c r="B20" s="3"/>
      <c r="C20" s="3"/>
      <c r="D20" s="3"/>
      <c r="E20" s="3"/>
      <c r="F20" s="3"/>
    </row>
    <row r="21" customFormat="false" ht="15" hidden="false" customHeight="true" outlineLevel="0" collapsed="false">
      <c r="A21" s="33" t="s">
        <v>167</v>
      </c>
      <c r="B21" s="32" t="n">
        <v>45</v>
      </c>
      <c r="C21" s="29" t="s">
        <v>168</v>
      </c>
      <c r="D21" s="30" t="s">
        <v>169</v>
      </c>
      <c r="E21" s="30"/>
      <c r="F21" s="30"/>
    </row>
    <row r="22" customFormat="false" ht="15" hidden="false" customHeight="true" outlineLevel="0" collapsed="false">
      <c r="A22" s="33" t="s">
        <v>170</v>
      </c>
      <c r="B22" s="32" t="n">
        <v>2</v>
      </c>
      <c r="C22" s="29" t="s">
        <v>11</v>
      </c>
      <c r="D22" s="30" t="s">
        <v>171</v>
      </c>
      <c r="E22" s="30"/>
      <c r="F22" s="30"/>
    </row>
    <row r="23" customFormat="false" ht="15" hidden="false" customHeight="true" outlineLevel="0" collapsed="false">
      <c r="A23" s="33" t="s">
        <v>172</v>
      </c>
      <c r="B23" s="32" t="n">
        <v>8</v>
      </c>
      <c r="C23" s="29" t="s">
        <v>173</v>
      </c>
      <c r="D23" s="30" t="s">
        <v>174</v>
      </c>
      <c r="E23" s="30"/>
      <c r="F23" s="30"/>
    </row>
    <row r="24" customFormat="false" ht="15" hidden="false" customHeight="true" outlineLevel="0" collapsed="false">
      <c r="A24" s="33" t="s">
        <v>175</v>
      </c>
      <c r="B24" s="32" t="n">
        <v>180</v>
      </c>
      <c r="C24" s="29" t="s">
        <v>176</v>
      </c>
      <c r="D24" s="30" t="s">
        <v>177</v>
      </c>
      <c r="E24" s="30"/>
      <c r="F24" s="30"/>
    </row>
    <row r="25" customFormat="false" ht="15" hidden="false" customHeight="true" outlineLevel="0" collapsed="false">
      <c r="A25" s="33" t="s">
        <v>178</v>
      </c>
      <c r="B25" s="32" t="n">
        <v>129.5</v>
      </c>
      <c r="C25" s="29" t="s">
        <v>147</v>
      </c>
      <c r="D25" s="30" t="s">
        <v>179</v>
      </c>
      <c r="E25" s="30"/>
      <c r="F25" s="30"/>
    </row>
    <row r="26" customFormat="false" ht="15" hidden="false" customHeight="true" outlineLevel="0" collapsed="false">
      <c r="A26" s="33" t="s">
        <v>180</v>
      </c>
      <c r="B26" s="32" t="n">
        <v>15</v>
      </c>
      <c r="C26" s="29" t="s">
        <v>173</v>
      </c>
      <c r="D26" s="30" t="s">
        <v>181</v>
      </c>
      <c r="E26" s="30"/>
      <c r="F26" s="30"/>
    </row>
    <row r="27" customFormat="false" ht="15" hidden="false" customHeight="true" outlineLevel="0" collapsed="false">
      <c r="A27" s="33" t="s">
        <v>182</v>
      </c>
      <c r="B27" s="32" t="n">
        <v>0.06</v>
      </c>
      <c r="C27" s="29" t="s">
        <v>139</v>
      </c>
      <c r="D27" s="30" t="s">
        <v>183</v>
      </c>
      <c r="E27" s="30"/>
      <c r="F27" s="30"/>
    </row>
  </sheetData>
  <mergeCells count="25">
    <mergeCell ref="A1:F1"/>
    <mergeCell ref="A2:F2"/>
    <mergeCell ref="A3:F3"/>
    <mergeCell ref="D4:F4"/>
    <mergeCell ref="D5:F5"/>
    <mergeCell ref="D6:F6"/>
    <mergeCell ref="D7:F7"/>
    <mergeCell ref="D8:F8"/>
    <mergeCell ref="D9:F9"/>
    <mergeCell ref="D10:F10"/>
    <mergeCell ref="D11:F11"/>
    <mergeCell ref="A13:F13"/>
    <mergeCell ref="D14:F14"/>
    <mergeCell ref="D15:F15"/>
    <mergeCell ref="D16:F16"/>
    <mergeCell ref="D17:F17"/>
    <mergeCell ref="D18:F18"/>
    <mergeCell ref="A20:F20"/>
    <mergeCell ref="D21:F21"/>
    <mergeCell ref="D22:F22"/>
    <mergeCell ref="D23:F23"/>
    <mergeCell ref="D24:F24"/>
    <mergeCell ref="D25:F25"/>
    <mergeCell ref="D26:F26"/>
    <mergeCell ref="D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25.5" hidden="false" customHeight="true" outlineLevel="0" collapsed="false">
      <c r="A1" s="34" t="s">
        <v>184</v>
      </c>
      <c r="B1" s="34"/>
      <c r="C1" s="34"/>
      <c r="D1" s="34"/>
      <c r="E1" s="34"/>
      <c r="F1" s="34"/>
      <c r="G1" s="34"/>
    </row>
    <row r="2" customFormat="false" ht="13.5" hidden="false" customHeight="true" outlineLevel="0" collapsed="false">
      <c r="A2" s="35"/>
      <c r="B2" s="35"/>
      <c r="C2" s="35"/>
      <c r="D2" s="35"/>
      <c r="E2" s="35"/>
      <c r="F2" s="35"/>
      <c r="G2" s="35"/>
    </row>
    <row r="3" customFormat="false" ht="13.5" hidden="false" customHeight="true" outlineLevel="0" collapsed="false">
      <c r="A3" s="3" t="s">
        <v>185</v>
      </c>
      <c r="B3" s="3"/>
      <c r="C3" s="3"/>
      <c r="D3" s="3"/>
      <c r="E3" s="3"/>
      <c r="F3" s="3"/>
      <c r="G3" s="3"/>
    </row>
    <row r="4" customFormat="false" ht="27.75" hidden="false" customHeight="true" outlineLevel="0" collapsed="false">
      <c r="A4" s="36" t="s">
        <v>186</v>
      </c>
      <c r="B4" s="36"/>
      <c r="C4" s="36"/>
      <c r="D4" s="36"/>
      <c r="E4" s="36"/>
      <c r="F4" s="36"/>
      <c r="G4" s="36"/>
    </row>
    <row r="5" customFormat="false" ht="13.5" hidden="false" customHeight="true" outlineLevel="0" collapsed="false">
      <c r="A5" s="35"/>
      <c r="B5" s="35"/>
      <c r="C5" s="35"/>
      <c r="D5" s="35"/>
      <c r="E5" s="35"/>
      <c r="F5" s="35"/>
      <c r="G5" s="35"/>
    </row>
    <row r="6" customFormat="false" ht="13.5" hidden="false" customHeight="true" outlineLevel="0" collapsed="false">
      <c r="A6" s="3" t="s">
        <v>187</v>
      </c>
      <c r="B6" s="3"/>
      <c r="C6" s="3"/>
      <c r="D6" s="3"/>
      <c r="E6" s="3"/>
      <c r="F6" s="3"/>
      <c r="G6" s="3"/>
    </row>
    <row r="7" customFormat="false" ht="13.5" hidden="false" customHeight="true" outlineLevel="0" collapsed="false">
      <c r="A7" s="27" t="s">
        <v>188</v>
      </c>
      <c r="B7" s="37" t="s">
        <v>189</v>
      </c>
      <c r="C7" s="37"/>
      <c r="D7" s="37"/>
      <c r="E7" s="37"/>
      <c r="F7" s="37"/>
      <c r="G7" s="37"/>
    </row>
    <row r="8" customFormat="false" ht="13.5" hidden="false" customHeight="true" outlineLevel="0" collapsed="false">
      <c r="A8" s="27" t="s">
        <v>190</v>
      </c>
      <c r="B8" s="37" t="s">
        <v>191</v>
      </c>
      <c r="C8" s="37"/>
      <c r="D8" s="37"/>
      <c r="E8" s="37"/>
      <c r="F8" s="37"/>
      <c r="G8" s="37"/>
    </row>
    <row r="9" customFormat="false" ht="13.5" hidden="false" customHeight="true" outlineLevel="0" collapsed="false">
      <c r="A9" s="27" t="s">
        <v>192</v>
      </c>
      <c r="B9" s="37" t="s">
        <v>193</v>
      </c>
      <c r="C9" s="37"/>
      <c r="D9" s="37"/>
      <c r="E9" s="37"/>
      <c r="F9" s="37"/>
      <c r="G9" s="37"/>
    </row>
    <row r="10" customFormat="false" ht="13.5" hidden="false" customHeight="true" outlineLevel="0" collapsed="false">
      <c r="A10" s="27" t="s">
        <v>194</v>
      </c>
      <c r="B10" s="37" t="s">
        <v>195</v>
      </c>
      <c r="C10" s="37"/>
      <c r="D10" s="37"/>
      <c r="E10" s="37"/>
      <c r="F10" s="37"/>
      <c r="G10" s="37"/>
    </row>
    <row r="11" customFormat="false" ht="13.5" hidden="false" customHeight="true" outlineLevel="0" collapsed="false">
      <c r="A11" s="35"/>
      <c r="B11" s="35"/>
      <c r="C11" s="35"/>
      <c r="D11" s="35"/>
      <c r="E11" s="35"/>
      <c r="F11" s="35"/>
      <c r="G11" s="35"/>
    </row>
    <row r="12" customFormat="false" ht="13.5" hidden="false" customHeight="true" outlineLevel="0" collapsed="false">
      <c r="A12" s="3" t="s">
        <v>196</v>
      </c>
      <c r="B12" s="3"/>
      <c r="C12" s="3"/>
      <c r="D12" s="3"/>
      <c r="E12" s="3"/>
      <c r="F12" s="3"/>
      <c r="G12" s="3"/>
    </row>
    <row r="13" customFormat="false" ht="13.5" hidden="false" customHeight="true" outlineLevel="0" collapsed="false">
      <c r="A13" s="27" t="s">
        <v>197</v>
      </c>
      <c r="B13" s="37" t="s">
        <v>198</v>
      </c>
      <c r="C13" s="37"/>
      <c r="D13" s="37"/>
      <c r="E13" s="37"/>
      <c r="F13" s="37"/>
      <c r="G13" s="37"/>
    </row>
    <row r="14" customFormat="false" ht="13.5" hidden="false" customHeight="true" outlineLevel="0" collapsed="false">
      <c r="A14" s="27" t="s">
        <v>199</v>
      </c>
      <c r="B14" s="37" t="s">
        <v>200</v>
      </c>
      <c r="C14" s="37"/>
      <c r="D14" s="37"/>
      <c r="E14" s="37"/>
      <c r="F14" s="37"/>
      <c r="G14" s="37"/>
    </row>
    <row r="15" customFormat="false" ht="13.5" hidden="false" customHeight="true" outlineLevel="0" collapsed="false">
      <c r="A15" s="27" t="s">
        <v>201</v>
      </c>
      <c r="B15" s="37" t="s">
        <v>202</v>
      </c>
      <c r="C15" s="37"/>
      <c r="D15" s="37"/>
      <c r="E15" s="37"/>
      <c r="F15" s="37"/>
      <c r="G15" s="37"/>
    </row>
    <row r="16" customFormat="false" ht="13.5" hidden="false" customHeight="true" outlineLevel="0" collapsed="false">
      <c r="A16" s="27" t="s">
        <v>203</v>
      </c>
      <c r="B16" s="37" t="s">
        <v>204</v>
      </c>
      <c r="C16" s="37"/>
      <c r="D16" s="37"/>
      <c r="E16" s="37"/>
      <c r="F16" s="37"/>
      <c r="G16" s="37"/>
    </row>
    <row r="17" customFormat="false" ht="13.5" hidden="false" customHeight="true" outlineLevel="0" collapsed="false">
      <c r="A17" s="27" t="s">
        <v>205</v>
      </c>
      <c r="B17" s="37" t="s">
        <v>206</v>
      </c>
      <c r="C17" s="37"/>
      <c r="D17" s="37"/>
      <c r="E17" s="37"/>
      <c r="F17" s="37"/>
      <c r="G17" s="37"/>
    </row>
    <row r="18" customFormat="false" ht="13.5" hidden="false" customHeight="true" outlineLevel="0" collapsed="false">
      <c r="A18" s="35"/>
      <c r="B18" s="35"/>
      <c r="C18" s="35"/>
      <c r="D18" s="35"/>
      <c r="E18" s="35"/>
      <c r="F18" s="35"/>
      <c r="G18" s="35"/>
    </row>
    <row r="19" customFormat="false" ht="13.5" hidden="false" customHeight="true" outlineLevel="0" collapsed="false">
      <c r="A19" s="3" t="s">
        <v>207</v>
      </c>
      <c r="B19" s="3"/>
      <c r="C19" s="3"/>
      <c r="D19" s="3"/>
      <c r="E19" s="3"/>
      <c r="F19" s="3"/>
      <c r="G19" s="3"/>
    </row>
    <row r="20" customFormat="false" ht="13.5" hidden="false" customHeight="true" outlineLevel="0" collapsed="false">
      <c r="A20" s="27" t="s">
        <v>208</v>
      </c>
      <c r="B20" s="37" t="s">
        <v>209</v>
      </c>
      <c r="C20" s="37"/>
      <c r="D20" s="37"/>
      <c r="E20" s="37"/>
      <c r="F20" s="37"/>
      <c r="G20" s="37"/>
    </row>
    <row r="21" customFormat="false" ht="13.5" hidden="false" customHeight="true" outlineLevel="0" collapsed="false">
      <c r="A21" s="27" t="s">
        <v>210</v>
      </c>
      <c r="B21" s="37" t="s">
        <v>211</v>
      </c>
      <c r="C21" s="37"/>
      <c r="D21" s="37"/>
      <c r="E21" s="37"/>
      <c r="F21" s="37"/>
      <c r="G21" s="37"/>
    </row>
    <row r="22" customFormat="false" ht="13.5" hidden="false" customHeight="true" outlineLevel="0" collapsed="false">
      <c r="A22" s="27" t="s">
        <v>212</v>
      </c>
      <c r="B22" s="37" t="s">
        <v>213</v>
      </c>
      <c r="C22" s="37"/>
      <c r="D22" s="37"/>
      <c r="E22" s="37"/>
      <c r="F22" s="37"/>
      <c r="G22" s="37"/>
    </row>
    <row r="23" customFormat="false" ht="13.5" hidden="false" customHeight="true" outlineLevel="0" collapsed="false">
      <c r="A23" s="27" t="s">
        <v>214</v>
      </c>
      <c r="B23" s="37" t="s">
        <v>215</v>
      </c>
      <c r="C23" s="37"/>
      <c r="D23" s="37"/>
      <c r="E23" s="37"/>
      <c r="F23" s="37"/>
      <c r="G23" s="37"/>
    </row>
    <row r="24" customFormat="false" ht="13.5" hidden="false" customHeight="true" outlineLevel="0" collapsed="false">
      <c r="A24" s="27" t="s">
        <v>216</v>
      </c>
      <c r="B24" s="37" t="s">
        <v>217</v>
      </c>
      <c r="C24" s="37"/>
      <c r="D24" s="37"/>
      <c r="E24" s="37"/>
      <c r="F24" s="37"/>
      <c r="G24" s="37"/>
    </row>
    <row r="25" customFormat="false" ht="13.5" hidden="false" customHeight="true" outlineLevel="0" collapsed="false">
      <c r="A25" s="27" t="s">
        <v>218</v>
      </c>
      <c r="B25" s="37" t="s">
        <v>219</v>
      </c>
      <c r="C25" s="37"/>
      <c r="D25" s="37"/>
      <c r="E25" s="37"/>
      <c r="F25" s="37"/>
      <c r="G25" s="37"/>
    </row>
    <row r="26" customFormat="false" ht="13.5" hidden="false" customHeight="true" outlineLevel="0" collapsed="false">
      <c r="A26" s="35"/>
      <c r="B26" s="35"/>
      <c r="C26" s="35"/>
      <c r="D26" s="35"/>
      <c r="E26" s="35"/>
      <c r="F26" s="35"/>
      <c r="G26" s="35"/>
    </row>
    <row r="27" customFormat="false" ht="13.5" hidden="false" customHeight="true" outlineLevel="0" collapsed="false">
      <c r="A27" s="3" t="s">
        <v>220</v>
      </c>
      <c r="B27" s="3"/>
      <c r="C27" s="3"/>
      <c r="D27" s="3"/>
      <c r="E27" s="3"/>
      <c r="F27" s="3"/>
      <c r="G27" s="3"/>
    </row>
    <row r="28" customFormat="false" ht="13.5" hidden="false" customHeight="true" outlineLevel="0" collapsed="false">
      <c r="A28" s="27" t="s">
        <v>221</v>
      </c>
      <c r="B28" s="37" t="s">
        <v>222</v>
      </c>
      <c r="C28" s="37"/>
      <c r="D28" s="37"/>
      <c r="E28" s="37"/>
      <c r="F28" s="37"/>
      <c r="G28" s="37"/>
    </row>
    <row r="29" customFormat="false" ht="13.5" hidden="false" customHeight="true" outlineLevel="0" collapsed="false">
      <c r="A29" s="27" t="s">
        <v>223</v>
      </c>
      <c r="B29" s="37" t="s">
        <v>224</v>
      </c>
      <c r="C29" s="37"/>
      <c r="D29" s="37"/>
      <c r="E29" s="37"/>
      <c r="F29" s="37"/>
      <c r="G29" s="37"/>
    </row>
    <row r="30" customFormat="false" ht="13.5" hidden="false" customHeight="true" outlineLevel="0" collapsed="false">
      <c r="A30" s="27" t="s">
        <v>225</v>
      </c>
      <c r="B30" s="37" t="s">
        <v>226</v>
      </c>
      <c r="C30" s="37"/>
      <c r="D30" s="37"/>
      <c r="E30" s="37"/>
      <c r="F30" s="37"/>
      <c r="G30" s="37"/>
    </row>
    <row r="31" customFormat="false" ht="13.5" hidden="false" customHeight="true" outlineLevel="0" collapsed="false">
      <c r="A31" s="27" t="s">
        <v>227</v>
      </c>
      <c r="B31" s="37" t="s">
        <v>228</v>
      </c>
      <c r="C31" s="37"/>
      <c r="D31" s="37"/>
      <c r="E31" s="37"/>
      <c r="F31" s="37"/>
      <c r="G31" s="37"/>
    </row>
    <row r="32" customFormat="false" ht="13.5" hidden="false" customHeight="true" outlineLevel="0" collapsed="false">
      <c r="A32" s="35"/>
      <c r="B32" s="35"/>
      <c r="C32" s="35"/>
      <c r="D32" s="35"/>
      <c r="E32" s="35"/>
      <c r="F32" s="35"/>
      <c r="G32" s="35"/>
    </row>
    <row r="33" customFormat="false" ht="13.5" hidden="false" customHeight="true" outlineLevel="0" collapsed="false">
      <c r="A33" s="3" t="s">
        <v>229</v>
      </c>
      <c r="B33" s="3"/>
      <c r="C33" s="3"/>
      <c r="D33" s="3"/>
      <c r="E33" s="3"/>
      <c r="F33" s="3"/>
      <c r="G33" s="3"/>
    </row>
    <row r="34" customFormat="false" ht="27.75" hidden="false" customHeight="true" outlineLevel="0" collapsed="false">
      <c r="A34" s="36" t="s">
        <v>230</v>
      </c>
      <c r="B34" s="36"/>
      <c r="C34" s="36"/>
      <c r="D34" s="36"/>
      <c r="E34" s="36"/>
      <c r="F34" s="36"/>
      <c r="G34" s="36"/>
    </row>
  </sheetData>
  <mergeCells count="34">
    <mergeCell ref="A1:G1"/>
    <mergeCell ref="A2:G2"/>
    <mergeCell ref="A3:G3"/>
    <mergeCell ref="A4:G4"/>
    <mergeCell ref="A5:G5"/>
    <mergeCell ref="A6:G6"/>
    <mergeCell ref="B7:G7"/>
    <mergeCell ref="B8:G8"/>
    <mergeCell ref="B9:G9"/>
    <mergeCell ref="B10:G10"/>
    <mergeCell ref="A11:G11"/>
    <mergeCell ref="A12:G12"/>
    <mergeCell ref="B13:G13"/>
    <mergeCell ref="B14:G14"/>
    <mergeCell ref="B15:G15"/>
    <mergeCell ref="B16:G16"/>
    <mergeCell ref="B17:G17"/>
    <mergeCell ref="A18:G18"/>
    <mergeCell ref="A19:G19"/>
    <mergeCell ref="B20:G20"/>
    <mergeCell ref="B21:G21"/>
    <mergeCell ref="B22:G22"/>
    <mergeCell ref="B23:G23"/>
    <mergeCell ref="B24:G24"/>
    <mergeCell ref="B25:G25"/>
    <mergeCell ref="A26:G26"/>
    <mergeCell ref="A27:G27"/>
    <mergeCell ref="B28:G28"/>
    <mergeCell ref="B29:G29"/>
    <mergeCell ref="B30:G30"/>
    <mergeCell ref="B31:G31"/>
    <mergeCell ref="A32:G32"/>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2026-04-09T13:03:17Z</dcterms:created>
  <dc:creator>openpyxl</dc:creator>
  <dc:description/>
  <dc:language>en-US</dc:language>
  <cp:lastModifiedBy/>
  <dcterms:modified xsi:type="dcterms:W3CDTF">2026-04-09T13:03:18Z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