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Collective Energy Africa\Day5\"/>
    </mc:Choice>
  </mc:AlternateContent>
  <xr:revisionPtr revIDLastSave="0" documentId="13_ncr:1_{D6583393-F4E1-4FD5-B8AD-A87E491D08C2}" xr6:coauthVersionLast="47" xr6:coauthVersionMax="47" xr10:uidLastSave="{00000000-0000-0000-0000-000000000000}"/>
  <bookViews>
    <workbookView xWindow="-108" yWindow="-108" windowWidth="23256" windowHeight="13176" tabRatio="500" activeTab="1" xr2:uid="{00000000-000D-0000-FFFF-FFFF00000000}"/>
  </bookViews>
  <sheets>
    <sheet name="Project Overview" sheetId="1" r:id="rId1"/>
    <sheet name="Hourly Data" sheetId="2" r:id="rId2"/>
    <sheet name="Monthly Billing" sheetId="3" r:id="rId3"/>
    <sheet name="Tool Inputs" sheetId="4" r:id="rId4"/>
    <sheet name="Instructions" sheetId="5" r:id="rId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M14" i="3" l="1"/>
  <c r="L14" i="3"/>
  <c r="K14" i="3"/>
  <c r="J14" i="3"/>
  <c r="I14" i="3"/>
  <c r="G14" i="3"/>
  <c r="F14" i="3"/>
  <c r="E14" i="3"/>
  <c r="D14" i="3"/>
  <c r="C14" i="3"/>
  <c r="N13" i="3"/>
  <c r="H13" i="3"/>
  <c r="N12" i="3"/>
  <c r="H12" i="3"/>
  <c r="N11" i="3"/>
  <c r="H11" i="3"/>
  <c r="N10" i="3"/>
  <c r="H10" i="3"/>
  <c r="N9" i="3"/>
  <c r="H9" i="3"/>
  <c r="N8" i="3"/>
  <c r="H8" i="3"/>
  <c r="N7" i="3"/>
  <c r="H7" i="3"/>
  <c r="N6" i="3"/>
  <c r="H6" i="3"/>
  <c r="N5" i="3"/>
  <c r="H5" i="3"/>
  <c r="N4" i="3"/>
  <c r="H4" i="3"/>
  <c r="N3" i="3"/>
  <c r="H3" i="3"/>
  <c r="H14" i="3" s="1"/>
  <c r="N2" i="3"/>
  <c r="N14" i="3" s="1"/>
  <c r="H2" i="3"/>
  <c r="G169" i="2"/>
  <c r="H169" i="2" s="1"/>
  <c r="I168" i="2"/>
  <c r="H168" i="2"/>
  <c r="G168" i="2"/>
  <c r="G167" i="2"/>
  <c r="I167" i="2" s="1"/>
  <c r="I166" i="2"/>
  <c r="H166" i="2"/>
  <c r="G166" i="2"/>
  <c r="I165" i="2"/>
  <c r="H165" i="2"/>
  <c r="G165" i="2"/>
  <c r="I164" i="2"/>
  <c r="H164" i="2"/>
  <c r="G164" i="2"/>
  <c r="I163" i="2"/>
  <c r="H163" i="2"/>
  <c r="G163" i="2"/>
  <c r="I162" i="2"/>
  <c r="H162" i="2"/>
  <c r="G162" i="2"/>
  <c r="I161" i="2"/>
  <c r="H161" i="2"/>
  <c r="G161" i="2"/>
  <c r="I160" i="2"/>
  <c r="H160" i="2"/>
  <c r="G160" i="2"/>
  <c r="I159" i="2"/>
  <c r="H159" i="2"/>
  <c r="G159" i="2"/>
  <c r="I158" i="2"/>
  <c r="H158" i="2"/>
  <c r="G158" i="2"/>
  <c r="I157" i="2"/>
  <c r="H157" i="2"/>
  <c r="G157" i="2"/>
  <c r="I156" i="2"/>
  <c r="H156" i="2"/>
  <c r="G156" i="2"/>
  <c r="I155" i="2"/>
  <c r="H155" i="2"/>
  <c r="G155" i="2"/>
  <c r="I154" i="2"/>
  <c r="H154" i="2"/>
  <c r="G154" i="2"/>
  <c r="I153" i="2"/>
  <c r="H153" i="2"/>
  <c r="G153" i="2"/>
  <c r="I152" i="2"/>
  <c r="H152" i="2"/>
  <c r="G152" i="2"/>
  <c r="I151" i="2"/>
  <c r="H151" i="2"/>
  <c r="G151" i="2"/>
  <c r="I150" i="2"/>
  <c r="H150" i="2"/>
  <c r="G150" i="2"/>
  <c r="I149" i="2"/>
  <c r="H149" i="2"/>
  <c r="G149" i="2"/>
  <c r="I148" i="2"/>
  <c r="H148" i="2"/>
  <c r="G148" i="2"/>
  <c r="I147" i="2"/>
  <c r="H147" i="2"/>
  <c r="G147" i="2"/>
  <c r="I146" i="2"/>
  <c r="H146" i="2"/>
  <c r="G146" i="2"/>
  <c r="I145" i="2"/>
  <c r="H145" i="2"/>
  <c r="G145" i="2"/>
  <c r="I144" i="2"/>
  <c r="H144" i="2"/>
  <c r="G144" i="2"/>
  <c r="I143" i="2"/>
  <c r="H143" i="2"/>
  <c r="G143" i="2"/>
  <c r="I142" i="2"/>
  <c r="H142" i="2"/>
  <c r="G142" i="2"/>
  <c r="I141" i="2"/>
  <c r="H141" i="2"/>
  <c r="G141" i="2"/>
  <c r="I140" i="2"/>
  <c r="H140" i="2"/>
  <c r="G140" i="2"/>
  <c r="I139" i="2"/>
  <c r="H139" i="2"/>
  <c r="G139" i="2"/>
  <c r="I138" i="2"/>
  <c r="H138" i="2"/>
  <c r="G138" i="2"/>
  <c r="I137" i="2"/>
  <c r="H137" i="2"/>
  <c r="G137" i="2"/>
  <c r="I136" i="2"/>
  <c r="H136" i="2"/>
  <c r="G136" i="2"/>
  <c r="I135" i="2"/>
  <c r="H135" i="2"/>
  <c r="G135" i="2"/>
  <c r="I134" i="2"/>
  <c r="H134" i="2"/>
  <c r="G134" i="2"/>
  <c r="I133" i="2"/>
  <c r="H133" i="2"/>
  <c r="G133" i="2"/>
  <c r="I132" i="2"/>
  <c r="H132" i="2"/>
  <c r="G132" i="2"/>
  <c r="I131" i="2"/>
  <c r="H131" i="2"/>
  <c r="G131" i="2"/>
  <c r="I130" i="2"/>
  <c r="H130" i="2"/>
  <c r="G130" i="2"/>
  <c r="I129" i="2"/>
  <c r="H129" i="2"/>
  <c r="G129" i="2"/>
  <c r="I128" i="2"/>
  <c r="H128" i="2"/>
  <c r="G128" i="2"/>
  <c r="I127" i="2"/>
  <c r="H127" i="2"/>
  <c r="G127" i="2"/>
  <c r="I126" i="2"/>
  <c r="H126" i="2"/>
  <c r="G126" i="2"/>
  <c r="I125" i="2"/>
  <c r="H125" i="2"/>
  <c r="G125" i="2"/>
  <c r="I124" i="2"/>
  <c r="H124" i="2"/>
  <c r="G124" i="2"/>
  <c r="I123" i="2"/>
  <c r="H123" i="2"/>
  <c r="G123" i="2"/>
  <c r="I122" i="2"/>
  <c r="H122" i="2"/>
  <c r="G122" i="2"/>
  <c r="I121" i="2"/>
  <c r="H121" i="2"/>
  <c r="G121" i="2"/>
  <c r="I120" i="2"/>
  <c r="H120" i="2"/>
  <c r="G120" i="2"/>
  <c r="I119" i="2"/>
  <c r="H119" i="2"/>
  <c r="G119" i="2"/>
  <c r="I118" i="2"/>
  <c r="H118" i="2"/>
  <c r="G118" i="2"/>
  <c r="I117" i="2"/>
  <c r="H117" i="2"/>
  <c r="G117" i="2"/>
  <c r="I116" i="2"/>
  <c r="H116" i="2"/>
  <c r="G116" i="2"/>
  <c r="I115" i="2"/>
  <c r="H115" i="2"/>
  <c r="G115" i="2"/>
  <c r="I114" i="2"/>
  <c r="H114" i="2"/>
  <c r="G114" i="2"/>
  <c r="I113" i="2"/>
  <c r="H113" i="2"/>
  <c r="G113" i="2"/>
  <c r="I112" i="2"/>
  <c r="H112" i="2"/>
  <c r="G112" i="2"/>
  <c r="I111" i="2"/>
  <c r="H111" i="2"/>
  <c r="G111" i="2"/>
  <c r="I110" i="2"/>
  <c r="H110" i="2"/>
  <c r="G110" i="2"/>
  <c r="I109" i="2"/>
  <c r="H109" i="2"/>
  <c r="G109" i="2"/>
  <c r="I108" i="2"/>
  <c r="H108" i="2"/>
  <c r="G108" i="2"/>
  <c r="I107" i="2"/>
  <c r="H107" i="2"/>
  <c r="G107" i="2"/>
  <c r="I106" i="2"/>
  <c r="H106" i="2"/>
  <c r="G106" i="2"/>
  <c r="I105" i="2"/>
  <c r="H105" i="2"/>
  <c r="G105" i="2"/>
  <c r="I104" i="2"/>
  <c r="H104" i="2"/>
  <c r="G104" i="2"/>
  <c r="I103" i="2"/>
  <c r="H103" i="2"/>
  <c r="G103" i="2"/>
  <c r="I102" i="2"/>
  <c r="H102" i="2"/>
  <c r="G102" i="2"/>
  <c r="I101" i="2"/>
  <c r="H101" i="2"/>
  <c r="G101" i="2"/>
  <c r="I100" i="2"/>
  <c r="H100" i="2"/>
  <c r="G100" i="2"/>
  <c r="I99" i="2"/>
  <c r="H99" i="2"/>
  <c r="G99" i="2"/>
  <c r="I98" i="2"/>
  <c r="H98" i="2"/>
  <c r="G98" i="2"/>
  <c r="I97" i="2"/>
  <c r="H97" i="2"/>
  <c r="G97" i="2"/>
  <c r="I96" i="2"/>
  <c r="H96" i="2"/>
  <c r="G96" i="2"/>
  <c r="I95" i="2"/>
  <c r="H95" i="2"/>
  <c r="G95" i="2"/>
  <c r="I94" i="2"/>
  <c r="H94" i="2"/>
  <c r="G94" i="2"/>
  <c r="I93" i="2"/>
  <c r="H93" i="2"/>
  <c r="G93" i="2"/>
  <c r="I92" i="2"/>
  <c r="H92" i="2"/>
  <c r="G92" i="2"/>
  <c r="I91" i="2"/>
  <c r="H91" i="2"/>
  <c r="G91" i="2"/>
  <c r="I90" i="2"/>
  <c r="H90" i="2"/>
  <c r="G90" i="2"/>
  <c r="I89" i="2"/>
  <c r="H89" i="2"/>
  <c r="G89" i="2"/>
  <c r="I88" i="2"/>
  <c r="H88" i="2"/>
  <c r="G88" i="2"/>
  <c r="I87" i="2"/>
  <c r="H87" i="2"/>
  <c r="G87" i="2"/>
  <c r="I86" i="2"/>
  <c r="H86" i="2"/>
  <c r="G86" i="2"/>
  <c r="I85" i="2"/>
  <c r="H85" i="2"/>
  <c r="G85" i="2"/>
  <c r="I84" i="2"/>
  <c r="H84" i="2"/>
  <c r="G84" i="2"/>
  <c r="I83" i="2"/>
  <c r="H83" i="2"/>
  <c r="G83" i="2"/>
  <c r="I82" i="2"/>
  <c r="H82" i="2"/>
  <c r="G82" i="2"/>
  <c r="I81" i="2"/>
  <c r="H81" i="2"/>
  <c r="G81" i="2"/>
  <c r="I80" i="2"/>
  <c r="H80" i="2"/>
  <c r="G80" i="2"/>
  <c r="I79" i="2"/>
  <c r="H79" i="2"/>
  <c r="G79" i="2"/>
  <c r="I78" i="2"/>
  <c r="H78" i="2"/>
  <c r="G78" i="2"/>
  <c r="I77" i="2"/>
  <c r="H77" i="2"/>
  <c r="G77" i="2"/>
  <c r="I76" i="2"/>
  <c r="H76" i="2"/>
  <c r="G76" i="2"/>
  <c r="I75" i="2"/>
  <c r="H75" i="2"/>
  <c r="G75" i="2"/>
  <c r="I74" i="2"/>
  <c r="H74" i="2"/>
  <c r="G74" i="2"/>
  <c r="I73" i="2"/>
  <c r="H73" i="2"/>
  <c r="G73" i="2"/>
  <c r="I72" i="2"/>
  <c r="H72" i="2"/>
  <c r="G72" i="2"/>
  <c r="I71" i="2"/>
  <c r="H71" i="2"/>
  <c r="G71" i="2"/>
  <c r="I70" i="2"/>
  <c r="H70" i="2"/>
  <c r="G70" i="2"/>
  <c r="I69" i="2"/>
  <c r="H69" i="2"/>
  <c r="G69" i="2"/>
  <c r="I68" i="2"/>
  <c r="H68" i="2"/>
  <c r="G68" i="2"/>
  <c r="I67" i="2"/>
  <c r="H67" i="2"/>
  <c r="G67" i="2"/>
  <c r="I66" i="2"/>
  <c r="H66" i="2"/>
  <c r="G66" i="2"/>
  <c r="I65" i="2"/>
  <c r="H65" i="2"/>
  <c r="G65" i="2"/>
  <c r="I64" i="2"/>
  <c r="H64" i="2"/>
  <c r="G64" i="2"/>
  <c r="I63" i="2"/>
  <c r="H63" i="2"/>
  <c r="G63" i="2"/>
  <c r="I62" i="2"/>
  <c r="H62" i="2"/>
  <c r="G62" i="2"/>
  <c r="I61" i="2"/>
  <c r="H61" i="2"/>
  <c r="G61" i="2"/>
  <c r="I60" i="2"/>
  <c r="H60" i="2"/>
  <c r="G60" i="2"/>
  <c r="I59" i="2"/>
  <c r="H59" i="2"/>
  <c r="G59" i="2"/>
  <c r="I58" i="2"/>
  <c r="H58" i="2"/>
  <c r="G58" i="2"/>
  <c r="I57" i="2"/>
  <c r="H57" i="2"/>
  <c r="G57" i="2"/>
  <c r="I56" i="2"/>
  <c r="H56" i="2"/>
  <c r="G56" i="2"/>
  <c r="I55" i="2"/>
  <c r="H55" i="2"/>
  <c r="G55" i="2"/>
  <c r="I54" i="2"/>
  <c r="H54" i="2"/>
  <c r="G54" i="2"/>
  <c r="I53" i="2"/>
  <c r="H53" i="2"/>
  <c r="G53" i="2"/>
  <c r="I52" i="2"/>
  <c r="H52" i="2"/>
  <c r="G52" i="2"/>
  <c r="I51" i="2"/>
  <c r="H51" i="2"/>
  <c r="G51" i="2"/>
  <c r="I50" i="2"/>
  <c r="H50" i="2"/>
  <c r="G50" i="2"/>
  <c r="I49" i="2"/>
  <c r="H49" i="2"/>
  <c r="G49" i="2"/>
  <c r="I48" i="2"/>
  <c r="H48" i="2"/>
  <c r="G48" i="2"/>
  <c r="I47" i="2"/>
  <c r="H47" i="2"/>
  <c r="G47" i="2"/>
  <c r="I46" i="2"/>
  <c r="H46" i="2"/>
  <c r="G46" i="2"/>
  <c r="I45" i="2"/>
  <c r="H45" i="2"/>
  <c r="G45" i="2"/>
  <c r="I44" i="2"/>
  <c r="H44" i="2"/>
  <c r="G44" i="2"/>
  <c r="I43" i="2"/>
  <c r="H43" i="2"/>
  <c r="G43" i="2"/>
  <c r="I42" i="2"/>
  <c r="H42" i="2"/>
  <c r="G42" i="2"/>
  <c r="I41" i="2"/>
  <c r="H41" i="2"/>
  <c r="G41" i="2"/>
  <c r="I40" i="2"/>
  <c r="H40" i="2"/>
  <c r="G40" i="2"/>
  <c r="I39" i="2"/>
  <c r="H39" i="2"/>
  <c r="G39" i="2"/>
  <c r="I38" i="2"/>
  <c r="H38" i="2"/>
  <c r="G38" i="2"/>
  <c r="I37" i="2"/>
  <c r="H37" i="2"/>
  <c r="G37" i="2"/>
  <c r="I36" i="2"/>
  <c r="H36" i="2"/>
  <c r="G36" i="2"/>
  <c r="I35" i="2"/>
  <c r="H35" i="2"/>
  <c r="G35" i="2"/>
  <c r="I34" i="2"/>
  <c r="H34" i="2"/>
  <c r="G34" i="2"/>
  <c r="I33" i="2"/>
  <c r="H33" i="2"/>
  <c r="G33" i="2"/>
  <c r="I32" i="2"/>
  <c r="H32" i="2"/>
  <c r="G32" i="2"/>
  <c r="I31" i="2"/>
  <c r="H31" i="2"/>
  <c r="G31" i="2"/>
  <c r="I30" i="2"/>
  <c r="H30" i="2"/>
  <c r="G30" i="2"/>
  <c r="I29" i="2"/>
  <c r="H29" i="2"/>
  <c r="G29" i="2"/>
  <c r="I28" i="2"/>
  <c r="H28" i="2"/>
  <c r="G28" i="2"/>
  <c r="I27" i="2"/>
  <c r="H27" i="2"/>
  <c r="G27" i="2"/>
  <c r="I26" i="2"/>
  <c r="H26" i="2"/>
  <c r="G26" i="2"/>
  <c r="I25" i="2"/>
  <c r="H25" i="2"/>
  <c r="G25" i="2"/>
  <c r="I24" i="2"/>
  <c r="H24" i="2"/>
  <c r="G24" i="2"/>
  <c r="I23" i="2"/>
  <c r="H23" i="2"/>
  <c r="G23" i="2"/>
  <c r="I22" i="2"/>
  <c r="H22" i="2"/>
  <c r="G22" i="2"/>
  <c r="I21" i="2"/>
  <c r="H21" i="2"/>
  <c r="G21" i="2"/>
  <c r="I20" i="2"/>
  <c r="H20" i="2"/>
  <c r="G20" i="2"/>
  <c r="I19" i="2"/>
  <c r="H19" i="2"/>
  <c r="G19" i="2"/>
  <c r="I18" i="2"/>
  <c r="H18" i="2"/>
  <c r="G18" i="2"/>
  <c r="I17" i="2"/>
  <c r="H17" i="2"/>
  <c r="G17" i="2"/>
  <c r="I16" i="2"/>
  <c r="H16" i="2"/>
  <c r="G16" i="2"/>
  <c r="I15" i="2"/>
  <c r="H15" i="2"/>
  <c r="G15" i="2"/>
  <c r="I14" i="2"/>
  <c r="H14" i="2"/>
  <c r="G14" i="2"/>
  <c r="I13" i="2"/>
  <c r="H13" i="2"/>
  <c r="G13" i="2"/>
  <c r="I12" i="2"/>
  <c r="H12" i="2"/>
  <c r="G12" i="2"/>
  <c r="I11" i="2"/>
  <c r="H11" i="2"/>
  <c r="G11" i="2"/>
  <c r="I10" i="2"/>
  <c r="H10" i="2"/>
  <c r="G10" i="2"/>
  <c r="I9" i="2"/>
  <c r="H9" i="2"/>
  <c r="G9" i="2"/>
  <c r="I8" i="2"/>
  <c r="H8" i="2"/>
  <c r="G8" i="2"/>
  <c r="I7" i="2"/>
  <c r="H7" i="2"/>
  <c r="G7" i="2"/>
  <c r="I6" i="2"/>
  <c r="H6" i="2"/>
  <c r="G6" i="2"/>
  <c r="I5" i="2"/>
  <c r="H5" i="2"/>
  <c r="G5" i="2"/>
  <c r="I4" i="2"/>
  <c r="H4" i="2"/>
  <c r="G4" i="2"/>
  <c r="I3" i="2"/>
  <c r="H3" i="2"/>
  <c r="G3" i="2"/>
  <c r="I2" i="2"/>
  <c r="H2" i="2"/>
  <c r="G2" i="2"/>
  <c r="I169" i="2" l="1"/>
  <c r="H167" i="2"/>
</calcChain>
</file>

<file path=xl/sharedStrings.xml><?xml version="1.0" encoding="utf-8"?>
<sst xmlns="http://schemas.openxmlformats.org/spreadsheetml/2006/main" count="720" uniqueCount="231">
  <si>
    <t>BESS SIZING CHALLENGE — SAMPLE DATASET</t>
  </si>
  <si>
    <t>Mavuno Foods Ltd | Nairobi Industrial Area, Kenya</t>
  </si>
  <si>
    <t>COMPANY PROFILE</t>
  </si>
  <si>
    <t>Company</t>
  </si>
  <si>
    <t>Mavuno Foods Ltd</t>
  </si>
  <si>
    <t>Registered food processor, Nairobi Industrial Area</t>
  </si>
  <si>
    <t>Sector</t>
  </si>
  <si>
    <t>Food &amp; Beverage Manufacturing</t>
  </si>
  <si>
    <t>Grain milling, packaging, cold storage</t>
  </si>
  <si>
    <t>Operating hours</t>
  </si>
  <si>
    <t>05:00 – 22:00</t>
  </si>
  <si>
    <t>hrs</t>
  </si>
  <si>
    <t>Mon–Sat; reduced Sunday (06:00–14:00)</t>
  </si>
  <si>
    <t>Grid connection</t>
  </si>
  <si>
    <t>33 kV / 415 V</t>
  </si>
  <si>
    <t>KPLC metered supply, SC5 tariff category</t>
  </si>
  <si>
    <t>Installed PV</t>
  </si>
  <si>
    <t>kWp</t>
  </si>
  <si>
    <t>Rooftop mono-PERC, installed Nov 2022, south-facing 15° tilt</t>
  </si>
  <si>
    <t>PV inverter</t>
  </si>
  <si>
    <t>SMA Sunny Tripower</t>
  </si>
  <si>
    <t>4 × 50 kW string inverters, no battery storage currently</t>
  </si>
  <si>
    <t>Grid reliability</t>
  </si>
  <si>
    <t>~72 hrs/month outages</t>
  </si>
  <si>
    <t>Frequent load-shedding; diesel genset 150 kVA backup</t>
  </si>
  <si>
    <t>Diesel cost</t>
  </si>
  <si>
    <t>KES/litre</t>
  </si>
  <si>
    <t>Current pump price; ~80 L/hr consumption under full load</t>
  </si>
  <si>
    <t>TARIFF STRUCTURE — KPLC SC5 (Large Commercial / Industrial)</t>
  </si>
  <si>
    <t>Energy charge — peak</t>
  </si>
  <si>
    <t>KES/kWh</t>
  </si>
  <si>
    <t>06:00–22:00 (16 hrs/day)</t>
  </si>
  <si>
    <t>Energy charge — off-peak</t>
  </si>
  <si>
    <t>22:00–06:00 (8 hrs/day)</t>
  </si>
  <si>
    <t>Fuel cost adjustment (ERC)</t>
  </si>
  <si>
    <t>Applied uniformly, reviewed quarterly</t>
  </si>
  <si>
    <t>ERC levy</t>
  </si>
  <si>
    <t>Energy Regulatory Commission</t>
  </si>
  <si>
    <t>Effective peak tariff (all-in)</t>
  </si>
  <si>
    <t>Sum of above during peak hours</t>
  </si>
  <si>
    <t>Demand charge</t>
  </si>
  <si>
    <t>KES/kVA/month</t>
  </si>
  <si>
    <t>Based on highest 30-min kVA in billing month</t>
  </si>
  <si>
    <t>Fixed charge (meter rent)</t>
  </si>
  <si>
    <t>KES/month</t>
  </si>
  <si>
    <t>Exchange rate reference</t>
  </si>
  <si>
    <t>KES/EUR</t>
  </si>
  <si>
    <t>For equipment cost benchmarking</t>
  </si>
  <si>
    <t>CHALLENGE BRIEF</t>
  </si>
  <si>
    <t>OBJECTIVE: Using the data provided in this workbook, design a BESS solution for Mavuno Foods Ltd that:
  1. Maximises self-consumption of PV generation (currently ~35% is exported to grid at minimal feed-in tariff)
  2. Performs peak shaving to reduce the monthly demand charge
  3. Provides backup autonomy of at least 2 hours for critical loads (~45 kW: cold storage + control systems)
  4. Achieves payback within 8 years at current tariff levels
DELIVERABLE: Build a tool (HTML/React/Python app) that takes the inputs from this dataset, calls an AI API,
and returns a recommended BESS power (kW), capacity (kWh), estimated annual savings, and payback period.
Bonus: show 3 scenarios (conservative / recommended / aggressive) and a daily charge-discharge strategy.</t>
  </si>
  <si>
    <t>Day</t>
  </si>
  <si>
    <t>Day Type</t>
  </si>
  <si>
    <t>Hour</t>
  </si>
  <si>
    <t>Time</t>
  </si>
  <si>
    <t>Load (kW)</t>
  </si>
  <si>
    <t>PV Gen (kW)</t>
  </si>
  <si>
    <t>Net Load (kW)</t>
  </si>
  <si>
    <t>Grid Import (kW)</t>
  </si>
  <si>
    <t>PV Surplus (kW)</t>
  </si>
  <si>
    <t>Notes</t>
  </si>
  <si>
    <t>Monday</t>
  </si>
  <si>
    <t>00:00</t>
  </si>
  <si>
    <t>Off-peak</t>
  </si>
  <si>
    <t>01:00</t>
  </si>
  <si>
    <t>02:00</t>
  </si>
  <si>
    <t>03:00</t>
  </si>
  <si>
    <t>04:00</t>
  </si>
  <si>
    <t>05:00</t>
  </si>
  <si>
    <t>06:00</t>
  </si>
  <si>
    <t>Peak</t>
  </si>
  <si>
    <t>07:00</t>
  </si>
  <si>
    <t>08:00</t>
  </si>
  <si>
    <t>09:00</t>
  </si>
  <si>
    <t>10:00</t>
  </si>
  <si>
    <t>Peak | PV surplus</t>
  </si>
  <si>
    <t>11:00</t>
  </si>
  <si>
    <t>12:00</t>
  </si>
  <si>
    <t>Peak | PV surplus | PV peak</t>
  </si>
  <si>
    <t>13:00</t>
  </si>
  <si>
    <t>14:00</t>
  </si>
  <si>
    <t>15:00</t>
  </si>
  <si>
    <t>16:00</t>
  </si>
  <si>
    <t>17:00</t>
  </si>
  <si>
    <t>18:00</t>
  </si>
  <si>
    <t>19:00</t>
  </si>
  <si>
    <t>20:00</t>
  </si>
  <si>
    <t>21:00</t>
  </si>
  <si>
    <t>22:00</t>
  </si>
  <si>
    <t>23:00</t>
  </si>
  <si>
    <t>Tuesday</t>
  </si>
  <si>
    <t>Wednesday</t>
  </si>
  <si>
    <t>Thursday</t>
  </si>
  <si>
    <t>Friday</t>
  </si>
  <si>
    <t>Saturday</t>
  </si>
  <si>
    <t>Sunday</t>
  </si>
  <si>
    <t>Month</t>
  </si>
  <si>
    <t>Days</t>
  </si>
  <si>
    <t>Total Cons (kWh)</t>
  </si>
  <si>
    <t>Peak kWh</t>
  </si>
  <si>
    <t>Off-peak kWh</t>
  </si>
  <si>
    <t>PV Gen (kWh)</t>
  </si>
  <si>
    <t>PV Self-use (kWh)</t>
  </si>
  <si>
    <t>Grid Import (kWh)</t>
  </si>
  <si>
    <t>Peak Demand (kVA)</t>
  </si>
  <si>
    <t>Energy Bill (KES)</t>
  </si>
  <si>
    <t>Demand Bill (KES)</t>
  </si>
  <si>
    <t>Fixed (KES)</t>
  </si>
  <si>
    <t>Diesel (KES)</t>
  </si>
  <si>
    <t>Total Bill (KES)</t>
  </si>
  <si>
    <t>Jan</t>
  </si>
  <si>
    <t>Dry season — high PV, stable grid</t>
  </si>
  <si>
    <t>Feb</t>
  </si>
  <si>
    <t>Dry season</t>
  </si>
  <si>
    <t>Mar</t>
  </si>
  <si>
    <t>Long rains begin — reduced PV</t>
  </si>
  <si>
    <t>Apr</t>
  </si>
  <si>
    <t>Long rains peak — frequent outages</t>
  </si>
  <si>
    <t>May</t>
  </si>
  <si>
    <t>Long rains easing</t>
  </si>
  <si>
    <t>Jun</t>
  </si>
  <si>
    <t>Cool dry season</t>
  </si>
  <si>
    <t>Jul</t>
  </si>
  <si>
    <t>Cool dry season — low temps, high cold storage load</t>
  </si>
  <si>
    <t>Aug</t>
  </si>
  <si>
    <t>Sep</t>
  </si>
  <si>
    <t>Dry — best PV month</t>
  </si>
  <si>
    <t>Oct</t>
  </si>
  <si>
    <t>Short rains — demand peaks, grid stress</t>
  </si>
  <si>
    <t>Nov</t>
  </si>
  <si>
    <t>Short rains peak</t>
  </si>
  <si>
    <t>Dec</t>
  </si>
  <si>
    <t>Short dry spell — pre-holiday slowdown</t>
  </si>
  <si>
    <t>TOTAL / AVG</t>
  </si>
  <si>
    <t>SUGGESTED TOOL INPUTS — extract these from the dataset above</t>
  </si>
  <si>
    <t>Load &amp; Tariff</t>
  </si>
  <si>
    <t>avg_monthly_consumption_kwh</t>
  </si>
  <si>
    <t>kWh</t>
  </si>
  <si>
    <t>Average monthly total consumption</t>
  </si>
  <si>
    <t>peak_consumption_share</t>
  </si>
  <si>
    <t>%</t>
  </si>
  <si>
    <t>Share of energy consumed during peak hours</t>
  </si>
  <si>
    <t>contracted_power_kva</t>
  </si>
  <si>
    <t>kVA</t>
  </si>
  <si>
    <t>Typical contracted capacity</t>
  </si>
  <si>
    <t>peak_demand_kva</t>
  </si>
  <si>
    <t>Average monthly peak demand</t>
  </si>
  <si>
    <t>tariff_peak_kesh_kwh</t>
  </si>
  <si>
    <t>KES</t>
  </si>
  <si>
    <t>All-in peak tariff incl. levies</t>
  </si>
  <si>
    <t>tariff_offpeak_kesh_kwh</t>
  </si>
  <si>
    <t>All-in off-peak tariff incl. levies</t>
  </si>
  <si>
    <t>demand_charge_kesh_kva</t>
  </si>
  <si>
    <t>Monthly demand charge per kVA</t>
  </si>
  <si>
    <t>peak_hours_per_day</t>
  </si>
  <si>
    <t>06:00–22:00</t>
  </si>
  <si>
    <t>PV System</t>
  </si>
  <si>
    <t>pv_installed_kwp</t>
  </si>
  <si>
    <t>Rooftop monocrystalline PERC</t>
  </si>
  <si>
    <t>avg_daily_pv_generation_kwh</t>
  </si>
  <si>
    <t>Annual average (185 kWh dry / 165 kWh rainy)</t>
  </si>
  <si>
    <t>pv_self_consumption_rate</t>
  </si>
  <si>
    <t>Currently ~65% self-consumed, ~35% exported</t>
  </si>
  <si>
    <t>avg_daily_surplus_kwh</t>
  </si>
  <si>
    <t>PV generation not consumed by load</t>
  </si>
  <si>
    <t>feed_in_tariff_kesh</t>
  </si>
  <si>
    <t>Approximate feed-in rate — very low incentive</t>
  </si>
  <si>
    <t>Project Constraints &amp; Objectives</t>
  </si>
  <si>
    <t>backup_critical_load_kw</t>
  </si>
  <si>
    <t>kW</t>
  </si>
  <si>
    <t>Cold storage + control systems (always on)</t>
  </si>
  <si>
    <t>backup_autonomy_target_hrs</t>
  </si>
  <si>
    <t>Minimum backup during grid outages</t>
  </si>
  <si>
    <t>max_payback_years</t>
  </si>
  <si>
    <t>years</t>
  </si>
  <si>
    <t>Client's maximum acceptable payback</t>
  </si>
  <si>
    <t>bess_cost_reference_eur_kwh</t>
  </si>
  <si>
    <t>EUR</t>
  </si>
  <si>
    <t>Approximate LFP BESS installed cost/kWh</t>
  </si>
  <si>
    <t>exchange_rate_kes_eur</t>
  </si>
  <si>
    <t>KES per EUR for cost conversion</t>
  </si>
  <si>
    <t>project_lifetime_years</t>
  </si>
  <si>
    <t>Standard BESS warranty horizon</t>
  </si>
  <si>
    <t>annual_tariff_escalation</t>
  </si>
  <si>
    <t>Historical KPLC annual tariff increase ~6%</t>
  </si>
  <si>
    <t>CHALLENGE INSTRUCTIONS — BESS Sizing Tool</t>
  </si>
  <si>
    <t>THE SCENARIO</t>
  </si>
  <si>
    <t>Mavuno Foods Ltd is a food processing company in Nairobi's Industrial Area. They have a 200 kWp solar PV system on their roof,
but ~35% of the solar energy is wasted because it can't be consumed in real time. They also face high electricity bills
due to peak tariffs and demand charges, plus frequent grid outages that force them to run a diesel generator.
Your task: design a BESS solution that solves all three problems simultaneously.</t>
  </si>
  <si>
    <t>LEVEL 1 — BASIC TOOL</t>
  </si>
  <si>
    <t>Step 1</t>
  </si>
  <si>
    <t>Open the 'Tool Inputs' sheet. These are the pre-processed key numbers extracted from the dataset.</t>
  </si>
  <si>
    <t>Step 2</t>
  </si>
  <si>
    <t>Build a web tool (HTML/React/Python) with input fields pre-filled with these values.</t>
  </si>
  <si>
    <t>Step 3</t>
  </si>
  <si>
    <t>When the user clicks 'Analyze', send the inputs to the Claude API with a well-crafted prompt.</t>
  </si>
  <si>
    <t>Step 4</t>
  </si>
  <si>
    <t>Display the AI response as structured output: recommended kW, kWh, annual savings (KES), payback (years).</t>
  </si>
  <si>
    <t>LEVEL 2 — ADVANCED TOOL (BONUS)</t>
  </si>
  <si>
    <t>Step 5</t>
  </si>
  <si>
    <t>Load and parse the 'Hourly Data' sheet (168 rows = 7 days × 24 hours).</t>
  </si>
  <si>
    <t>Step 6</t>
  </si>
  <si>
    <t>Plot the load curve vs PV generation curve to visually identify surplus windows and peak demand periods.</t>
  </si>
  <si>
    <t>Step 7</t>
  </si>
  <si>
    <t>Calculate automatically: daily average surplus, peak demand hours, optimal charge/discharge windows.</t>
  </si>
  <si>
    <t>Step 8</t>
  </si>
  <si>
    <t>Feed both the calculated stats AND a summary of the raw profile to the AI for a richer recommendation.</t>
  </si>
  <si>
    <t>Step 9</t>
  </si>
  <si>
    <t>Show 3 BESS scenarios: Conservative (backup focus) / Recommended (balanced) / Aggressive (max savings).</t>
  </si>
  <si>
    <t>TIPS FOR YOUR AI PROMPT</t>
  </si>
  <si>
    <t>Tip 1</t>
  </si>
  <si>
    <t>Be explicit about units — the AI must distinguish kW (power) from kWh (energy).</t>
  </si>
  <si>
    <t>Tip 2</t>
  </si>
  <si>
    <t>Include the tariff structure — the arbitrage opportunity between peak (25 KES) and off-peak (13.7 KES) is huge.</t>
  </si>
  <si>
    <t>Tip 3</t>
  </si>
  <si>
    <t>Mention the backup requirement explicitly (45 kW critical load, 2 hrs minimum).</t>
  </si>
  <si>
    <t>Tip 4</t>
  </si>
  <si>
    <t>Ask for reasoning, not just numbers — 'explain why you chose this capacity'.</t>
  </si>
  <si>
    <t>Tip 5</t>
  </si>
  <si>
    <t>Request JSON output for easy parsing, then render it nicely in your UI.</t>
  </si>
  <si>
    <t>Tip 6</t>
  </si>
  <si>
    <t>Consider adding: 'Assume LFP chemistry, 90% round-trip efficiency, 80% usable DoD, 6000 cycle lifetime'.</t>
  </si>
  <si>
    <t>KEY NUMBERS TO KNOW</t>
  </si>
  <si>
    <t>Daily PV surplus</t>
  </si>
  <si>
    <t>~70 kWh/day average (more in dry season, less during rains)</t>
  </si>
  <si>
    <t>Peak demand to shave</t>
  </si>
  <si>
    <t>~100 kVA — even a 10% reduction saves ~85,000 KES/year in demand charges</t>
  </si>
  <si>
    <t>Diesel cost context</t>
  </si>
  <si>
    <t>~72 hrs/month × 80 L/hr × 145 KES/L = ~835,000 KES/year in diesel alone</t>
  </si>
  <si>
    <t>Tariff spread</t>
  </si>
  <si>
    <t>25.0 vs 13.7 KES/kWh = 11.3 KES/kWh arbitrage opportunity during off-peak charging</t>
  </si>
  <si>
    <t>EXPECTED OUTPUT RANGE</t>
  </si>
  <si>
    <t>Payback should land in the 5–9 year range depending on how you weight diesel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</si>
</sst>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1"/>
      <color theme="1"/>
      <name val="Calibri"/>
      <family val="2"/>
      <charset val="1"/>
    </font>
    <font>
      <b/>
      <sz val="14"/>
      <color rgb="FFFFFFFF"/>
      <name val="Arial"/>
      <charset val="1"/>
    </font>
    <font>
      <sz val="10"/>
      <color rgb="FFBDD7EE"/>
      <name val="Arial"/>
      <charset val="1"/>
    </font>
    <font>
      <b/>
      <sz val="10"/>
      <color rgb="FFFFFFFF"/>
      <name val="Arial"/>
      <charset val="1"/>
    </font>
    <font>
      <b/>
      <sz val="10"/>
      <color rgb="FF000000"/>
      <name val="Arial"/>
      <charset val="1"/>
    </font>
    <font>
      <sz val="10"/>
      <color rgb="FF1F4E79"/>
      <name val="Arial"/>
      <charset val="1"/>
    </font>
    <font>
      <i/>
      <sz val="9"/>
      <color rgb="FF595959"/>
      <name val="Arial"/>
      <charset val="1"/>
    </font>
    <font>
      <sz val="10"/>
      <color rgb="FF595959"/>
      <name val="Arial"/>
      <charset val="1"/>
    </font>
    <font>
      <sz val="9"/>
      <color rgb="FF000000"/>
      <name val="Arial"/>
      <charset val="1"/>
    </font>
    <font>
      <sz val="9"/>
      <color rgb="FF595959"/>
      <name val="Arial"/>
      <charset val="1"/>
    </font>
    <font>
      <sz val="9"/>
      <color rgb="FF375623"/>
      <name val="Arial"/>
      <charset val="1"/>
    </font>
    <font>
      <b/>
      <sz val="9"/>
      <color rgb="FFFFFFFF"/>
      <name val="Arial"/>
      <charset val="1"/>
    </font>
    <font>
      <b/>
      <sz val="9"/>
      <name val="Arial"/>
      <charset val="1"/>
    </font>
    <font>
      <b/>
      <sz val="9"/>
      <color rgb="FF1F4E79"/>
      <name val="Arial"/>
      <charset val="1"/>
    </font>
    <font>
      <b/>
      <sz val="9"/>
      <color rgb="FF000000"/>
      <name val="Arial"/>
      <charset val="1"/>
    </font>
    <font>
      <b/>
      <sz val="9"/>
      <color rgb="FF375623"/>
      <name val="Arial"/>
      <charset val="1"/>
    </font>
    <font>
      <b/>
      <sz val="9"/>
      <color rgb="FF833C00"/>
      <name val="Arial"/>
      <charset val="1"/>
    </font>
    <font>
      <b/>
      <sz val="13"/>
      <color rgb="FFFFFFFF"/>
      <name val="Arial"/>
      <charset val="1"/>
    </font>
    <font>
      <sz val="9"/>
      <name val="Arial"/>
      <charset val="1"/>
    </font>
  </fonts>
  <fills count="9">
    <fill>
      <patternFill patternType="none"/>
    </fill>
    <fill>
      <patternFill patternType="gray125"/>
    </fill>
    <fill>
      <patternFill patternType="solid">
        <fgColor rgb="FF1F4E79"/>
        <bgColor rgb="FF003366"/>
      </patternFill>
    </fill>
    <fill>
      <patternFill patternType="solid">
        <fgColor rgb="FF2E75B6"/>
        <bgColor rgb="FF0066CC"/>
      </patternFill>
    </fill>
    <fill>
      <patternFill patternType="solid">
        <fgColor rgb="FFF2F2F2"/>
        <bgColor rgb="FFEBF3FB"/>
      </patternFill>
    </fill>
    <fill>
      <patternFill patternType="solid">
        <fgColor rgb="FFFFFFFF"/>
        <bgColor rgb="FFF2F2F2"/>
      </patternFill>
    </fill>
    <fill>
      <patternFill patternType="solid">
        <fgColor rgb="FFEBF3FB"/>
        <bgColor rgb="FFF2F2F2"/>
      </patternFill>
    </fill>
    <fill>
      <patternFill patternType="solid">
        <fgColor rgb="FFBDD7EE"/>
        <bgColor rgb="FF99CCFF"/>
      </patternFill>
    </fill>
    <fill>
      <patternFill patternType="solid">
        <fgColor rgb="FFFFF2CC"/>
        <bgColor rgb="FFF2F2F2"/>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s>
  <cellStyleXfs count="1">
    <xf numFmtId="0" fontId="0" fillId="0" borderId="0"/>
  </cellStyleXfs>
  <cellXfs count="38">
    <xf numFmtId="0" fontId="0" fillId="0" borderId="0" xfId="0"/>
    <xf numFmtId="0" fontId="18" fillId="0" borderId="2" xfId="0" applyFont="1" applyBorder="1" applyAlignment="1">
      <alignment vertical="top" wrapText="1" indent="1"/>
    </xf>
    <xf numFmtId="0" fontId="6" fillId="4" borderId="2" xfId="0" applyFont="1" applyFill="1" applyBorder="1" applyAlignment="1">
      <alignment vertical="top" wrapText="1" indent="1"/>
    </xf>
    <xf numFmtId="0" fontId="0" fillId="0" borderId="0" xfId="0"/>
    <xf numFmtId="0" fontId="17" fillId="2" borderId="0" xfId="0" applyFont="1" applyFill="1" applyAlignment="1">
      <alignment horizontal="left" vertical="center" indent="1"/>
    </xf>
    <xf numFmtId="0" fontId="6" fillId="0" borderId="2" xfId="0" applyFont="1" applyBorder="1"/>
    <xf numFmtId="0" fontId="5" fillId="6" borderId="0" xfId="0" applyFont="1" applyFill="1" applyAlignment="1">
      <alignment vertical="top" wrapText="1" indent="1"/>
    </xf>
    <xf numFmtId="0" fontId="6" fillId="5" borderId="2" xfId="0" applyFont="1" applyFill="1" applyBorder="1"/>
    <xf numFmtId="0" fontId="3" fillId="3" borderId="0" xfId="0" applyFont="1" applyFill="1" applyAlignment="1">
      <alignment horizontal="left" vertical="center" indent="1"/>
    </xf>
    <xf numFmtId="0" fontId="2" fillId="2" borderId="0" xfId="0" applyFont="1" applyFill="1" applyAlignment="1">
      <alignment horizontal="left" vertical="center" indent="1"/>
    </xf>
    <xf numFmtId="0" fontId="1" fillId="2" borderId="0" xfId="0" applyFont="1" applyFill="1" applyAlignment="1">
      <alignment horizontal="left" vertical="center" indent="1"/>
    </xf>
    <xf numFmtId="0" fontId="4" fillId="4" borderId="1" xfId="0" applyFont="1" applyFill="1" applyBorder="1" applyAlignment="1">
      <alignment horizontal="left" vertical="center" indent="1"/>
    </xf>
    <xf numFmtId="0" fontId="5" fillId="5" borderId="1" xfId="0" applyFont="1" applyFill="1" applyBorder="1" applyAlignment="1">
      <alignment horizontal="right" vertical="center"/>
    </xf>
    <xf numFmtId="0" fontId="7" fillId="5" borderId="1" xfId="0" applyFont="1" applyFill="1" applyBorder="1"/>
    <xf numFmtId="0" fontId="3" fillId="2" borderId="1" xfId="0" applyFont="1" applyFill="1" applyBorder="1" applyAlignment="1">
      <alignment horizontal="center" vertical="center"/>
    </xf>
    <xf numFmtId="0" fontId="8" fillId="5" borderId="1" xfId="0" applyFont="1" applyFill="1" applyBorder="1" applyAlignment="1">
      <alignment horizontal="center" vertical="center"/>
    </xf>
    <xf numFmtId="164" fontId="8" fillId="5" borderId="1" xfId="0" applyNumberFormat="1" applyFont="1" applyFill="1" applyBorder="1" applyAlignment="1">
      <alignment horizontal="right" vertical="center"/>
    </xf>
    <xf numFmtId="0" fontId="9" fillId="5" borderId="1" xfId="0" applyFont="1" applyFill="1" applyBorder="1" applyAlignment="1">
      <alignment horizontal="right" vertical="center"/>
    </xf>
    <xf numFmtId="0" fontId="8" fillId="5" borderId="1" xfId="0" applyFont="1" applyFill="1" applyBorder="1" applyAlignment="1">
      <alignment horizontal="right" vertical="center"/>
    </xf>
    <xf numFmtId="0" fontId="10" fillId="5" borderId="1" xfId="0" applyFont="1" applyFill="1" applyBorder="1" applyAlignment="1">
      <alignment horizontal="right" vertical="center"/>
    </xf>
    <xf numFmtId="0" fontId="8" fillId="4" borderId="1" xfId="0" applyFont="1" applyFill="1" applyBorder="1" applyAlignment="1">
      <alignment horizontal="center" vertical="center"/>
    </xf>
    <xf numFmtId="164" fontId="8" fillId="4" borderId="1" xfId="0" applyNumberFormat="1" applyFont="1" applyFill="1" applyBorder="1" applyAlignment="1">
      <alignment horizontal="right" vertical="center"/>
    </xf>
    <xf numFmtId="0" fontId="9" fillId="4" borderId="1" xfId="0" applyFont="1" applyFill="1" applyBorder="1" applyAlignment="1">
      <alignment horizontal="right" vertical="center"/>
    </xf>
    <xf numFmtId="0" fontId="8" fillId="4" borderId="1" xfId="0" applyFont="1" applyFill="1" applyBorder="1" applyAlignment="1">
      <alignment horizontal="right" vertical="center"/>
    </xf>
    <xf numFmtId="0" fontId="10" fillId="4" borderId="1" xfId="0" applyFont="1" applyFill="1" applyBorder="1" applyAlignment="1">
      <alignment horizontal="right" vertical="center"/>
    </xf>
    <xf numFmtId="0" fontId="11" fillId="2" borderId="1" xfId="0" applyFont="1" applyFill="1" applyBorder="1" applyAlignment="1">
      <alignment horizontal="center" vertical="center" wrapText="1"/>
    </xf>
    <xf numFmtId="0" fontId="8" fillId="5" borderId="1" xfId="0" applyFont="1" applyFill="1" applyBorder="1" applyAlignment="1">
      <alignment horizontal="left" vertical="center" indent="1"/>
    </xf>
    <xf numFmtId="3" fontId="8" fillId="5" borderId="1" xfId="0" applyNumberFormat="1" applyFont="1" applyFill="1" applyBorder="1" applyAlignment="1">
      <alignment horizontal="right" vertical="center"/>
    </xf>
    <xf numFmtId="0" fontId="8" fillId="4" borderId="1" xfId="0" applyFont="1" applyFill="1" applyBorder="1" applyAlignment="1">
      <alignment horizontal="left" vertical="center" indent="1"/>
    </xf>
    <xf numFmtId="3" fontId="8" fillId="4" borderId="1" xfId="0" applyNumberFormat="1" applyFont="1" applyFill="1" applyBorder="1" applyAlignment="1">
      <alignment horizontal="right" vertical="center"/>
    </xf>
    <xf numFmtId="0" fontId="12" fillId="7" borderId="1" xfId="0" applyFont="1" applyFill="1" applyBorder="1" applyAlignment="1">
      <alignment horizontal="right" vertical="center"/>
    </xf>
    <xf numFmtId="3" fontId="12" fillId="7" borderId="1" xfId="0" applyNumberFormat="1" applyFont="1" applyFill="1" applyBorder="1" applyAlignment="1">
      <alignment horizontal="right" vertical="center"/>
    </xf>
    <xf numFmtId="0" fontId="13" fillId="4" borderId="1" xfId="0" applyFont="1" applyFill="1" applyBorder="1"/>
    <xf numFmtId="0" fontId="14" fillId="8" borderId="1" xfId="0" applyFont="1" applyFill="1" applyBorder="1"/>
    <xf numFmtId="0" fontId="9" fillId="0" borderId="1" xfId="0" applyFont="1" applyBorder="1"/>
    <xf numFmtId="0" fontId="15" fillId="4" borderId="1" xfId="0" applyFont="1" applyFill="1" applyBorder="1"/>
    <xf numFmtId="0" fontId="12" fillId="8" borderId="1" xfId="0" applyFont="1" applyFill="1" applyBorder="1"/>
    <xf numFmtId="0" fontId="16" fillId="4" borderId="1" xfId="0" applyFont="1" applyFill="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BF3FB"/>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003366"/>
      <rgbColor rgb="FF339966"/>
      <rgbColor rgb="FF003300"/>
      <rgbColor rgb="FF333300"/>
      <rgbColor rgb="FF833C00"/>
      <rgbColor rgb="FF993366"/>
      <rgbColor rgb="FF1F4E79"/>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Monday</a:t>
            </a:r>
            <a:endParaRPr lang="en-K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lotArea>
      <c:layout/>
      <c:lineChart>
        <c:grouping val="standard"/>
        <c:varyColors val="0"/>
        <c:ser>
          <c:idx val="0"/>
          <c:order val="0"/>
          <c:tx>
            <c:v>Load</c:v>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'Hourly Data'!$C$2:$D$25</c:f>
              <c:multiLvlStrCache>
                <c:ptCount val="24"/>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'Hourly Data'!$E$2:$E$25</c:f>
              <c:numCache>
                <c:formatCode>0.0</c:formatCode>
                <c:ptCount val="24"/>
                <c:pt idx="0">
                  <c:v>41.8</c:v>
                </c:pt>
                <c:pt idx="1">
                  <c:v>38.200000000000003</c:v>
                </c:pt>
                <c:pt idx="2">
                  <c:v>39.700000000000003</c:v>
                </c:pt>
                <c:pt idx="3">
                  <c:v>39.299999999999997</c:v>
                </c:pt>
                <c:pt idx="4">
                  <c:v>42.4</c:v>
                </c:pt>
                <c:pt idx="5">
                  <c:v>59.1</c:v>
                </c:pt>
                <c:pt idx="6">
                  <c:v>72.400000000000006</c:v>
                </c:pt>
                <c:pt idx="7">
                  <c:v>85.5</c:v>
                </c:pt>
                <c:pt idx="8">
                  <c:v>89</c:v>
                </c:pt>
                <c:pt idx="9">
                  <c:v>90.8</c:v>
                </c:pt>
                <c:pt idx="10">
                  <c:v>94.5</c:v>
                </c:pt>
                <c:pt idx="11">
                  <c:v>89</c:v>
                </c:pt>
                <c:pt idx="12">
                  <c:v>77.900000000000006</c:v>
                </c:pt>
                <c:pt idx="13">
                  <c:v>89.8</c:v>
                </c:pt>
                <c:pt idx="14">
                  <c:v>90.6</c:v>
                </c:pt>
                <c:pt idx="15">
                  <c:v>96.4</c:v>
                </c:pt>
                <c:pt idx="16">
                  <c:v>91.3</c:v>
                </c:pt>
                <c:pt idx="17">
                  <c:v>93.6</c:v>
                </c:pt>
                <c:pt idx="18">
                  <c:v>77.8</c:v>
                </c:pt>
                <c:pt idx="19">
                  <c:v>72.2</c:v>
                </c:pt>
                <c:pt idx="20">
                  <c:v>55.8</c:v>
                </c:pt>
                <c:pt idx="21">
                  <c:v>52.3</c:v>
                </c:pt>
                <c:pt idx="22">
                  <c:v>41.3</c:v>
                </c:pt>
                <c:pt idx="23">
                  <c:v>43</c:v>
                </c:pt>
              </c:numCache>
            </c:numRef>
          </c:val>
          <c:smooth val="0"/>
          <c:extLst>
            <c:ext xmlns:c16="http://schemas.microsoft.com/office/drawing/2014/chart" uri="{C3380CC4-5D6E-409C-BE32-E72D297353CC}">
              <c16:uniqueId val="{00000000-2BBB-4A08-9DCC-44AE535E54B7}"/>
            </c:ext>
          </c:extLst>
        </c:ser>
        <c:ser>
          <c:idx val="1"/>
          <c:order val="1"/>
          <c:tx>
            <c:v>PV Gen</c:v>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'Hourly Data'!$C$2:$D$25</c:f>
              <c:multiLvlStrCache>
                <c:ptCount val="24"/>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'Hourly Data'!$F$2:$F$25</c:f>
              <c:numCache>
                <c:formatCode>General</c:formatCode>
                <c:ptCount val="24"/>
                <c:pt idx="0">
                  <c:v>0</c:v>
                </c:pt>
                <c:pt idx="1">
                  <c:v>0</c:v>
                </c:pt>
                <c:pt idx="2">
                  <c:v>0</c:v>
                </c:pt>
                <c:pt idx="3">
                  <c:v>0</c:v>
                </c:pt>
                <c:pt idx="4">
                  <c:v>0</c:v>
                </c:pt>
                <c:pt idx="5">
                  <c:v>0</c:v>
                </c:pt>
                <c:pt idx="6">
                  <c:v>20.399999999999999</c:v>
                </c:pt>
                <c:pt idx="7">
                  <c:v>36.700000000000003</c:v>
                </c:pt>
                <c:pt idx="8">
                  <c:v>62.9</c:v>
                </c:pt>
                <c:pt idx="9">
                  <c:v>86.1</c:v>
                </c:pt>
                <c:pt idx="10">
                  <c:v>113.3</c:v>
                </c:pt>
                <c:pt idx="11">
                  <c:v>131.5</c:v>
                </c:pt>
                <c:pt idx="12">
                  <c:v>133.30000000000001</c:v>
                </c:pt>
                <c:pt idx="13">
                  <c:v>132.30000000000001</c:v>
                </c:pt>
                <c:pt idx="14">
                  <c:v>110.2</c:v>
                </c:pt>
                <c:pt idx="15">
                  <c:v>87.2</c:v>
                </c:pt>
                <c:pt idx="16">
                  <c:v>59.6</c:v>
                </c:pt>
                <c:pt idx="17">
                  <c:v>41.3</c:v>
                </c:pt>
                <c:pt idx="18">
                  <c:v>25.5</c:v>
                </c:pt>
                <c:pt idx="19">
                  <c:v>0</c:v>
                </c:pt>
                <c:pt idx="20">
                  <c:v>0</c:v>
                </c:pt>
                <c:pt idx="21">
                  <c:v>0</c:v>
                </c:pt>
                <c:pt idx="22">
                  <c:v>0</c:v>
                </c:pt>
                <c:pt idx="23">
                  <c:v>0</c:v>
                </c:pt>
              </c:numCache>
            </c:numRef>
          </c:val>
          <c:smooth val="0"/>
          <c:extLst>
            <c:ext xmlns:c16="http://schemas.microsoft.com/office/drawing/2014/chart" uri="{C3380CC4-5D6E-409C-BE32-E72D297353CC}">
              <c16:uniqueId val="{00000001-2BBB-4A08-9DCC-44AE535E54B7}"/>
            </c:ext>
          </c:extLst>
        </c:ser>
        <c:ser>
          <c:idx val="2"/>
          <c:order val="2"/>
          <c:tx>
            <c:v>Net Load</c:v>
          </c:tx>
          <c:spPr>
            <a:ln w="28575" cap="rnd">
              <a:solidFill>
                <a:schemeClr val="accent3"/>
              </a:solidFill>
              <a:round/>
            </a:ln>
            <a:effectLst/>
          </c:spPr>
          <c:marker>
            <c:symbol val="circle"/>
            <c:size val="5"/>
            <c:spPr>
              <a:solidFill>
                <a:schemeClr val="accent3"/>
              </a:solidFill>
              <a:ln w="9525">
                <a:solidFill>
                  <a:schemeClr val="accent3"/>
                </a:solidFill>
              </a:ln>
              <a:effectLst/>
            </c:spPr>
          </c:marker>
          <c:cat>
            <c:multiLvlStrRef>
              <c:f>'Hourly Data'!$C$2:$D$25</c:f>
              <c:multiLvlStrCache>
                <c:ptCount val="24"/>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'Hourly Data'!$G$2:$G$25</c:f>
              <c:numCache>
                <c:formatCode>General</c:formatCode>
                <c:ptCount val="24"/>
                <c:pt idx="0">
                  <c:v>41.8</c:v>
                </c:pt>
                <c:pt idx="1">
                  <c:v>38.200000000000003</c:v>
                </c:pt>
                <c:pt idx="2">
                  <c:v>39.700000000000003</c:v>
                </c:pt>
                <c:pt idx="3">
                  <c:v>39.299999999999997</c:v>
                </c:pt>
                <c:pt idx="4">
                  <c:v>42.4</c:v>
                </c:pt>
                <c:pt idx="5">
                  <c:v>59.1</c:v>
                </c:pt>
                <c:pt idx="6">
                  <c:v>52.000000000000007</c:v>
                </c:pt>
                <c:pt idx="7">
                  <c:v>48.8</c:v>
                </c:pt>
                <c:pt idx="8">
                  <c:v>26.1</c:v>
                </c:pt>
                <c:pt idx="9">
                  <c:v>4.7000000000000028</c:v>
                </c:pt>
                <c:pt idx="10">
                  <c:v>-18.799999999999997</c:v>
                </c:pt>
                <c:pt idx="11">
                  <c:v>-42.5</c:v>
                </c:pt>
                <c:pt idx="12">
                  <c:v>-55.400000000000006</c:v>
                </c:pt>
                <c:pt idx="13">
                  <c:v>-42.500000000000014</c:v>
                </c:pt>
                <c:pt idx="14">
                  <c:v>-19.600000000000009</c:v>
                </c:pt>
                <c:pt idx="15">
                  <c:v>9.2000000000000028</c:v>
                </c:pt>
                <c:pt idx="16">
                  <c:v>31.699999999999996</c:v>
                </c:pt>
                <c:pt idx="17">
                  <c:v>52.3</c:v>
                </c:pt>
                <c:pt idx="18">
                  <c:v>52.3</c:v>
                </c:pt>
                <c:pt idx="19">
                  <c:v>72.2</c:v>
                </c:pt>
                <c:pt idx="20">
                  <c:v>55.8</c:v>
                </c:pt>
                <c:pt idx="21">
                  <c:v>52.3</c:v>
                </c:pt>
                <c:pt idx="22">
                  <c:v>41.3</c:v>
                </c:pt>
                <c:pt idx="23">
                  <c:v>43</c:v>
                </c:pt>
              </c:numCache>
            </c:numRef>
          </c:val>
          <c:smooth val="0"/>
          <c:extLst>
            <c:ext xmlns:c16="http://schemas.microsoft.com/office/drawing/2014/chart" uri="{C3380CC4-5D6E-409C-BE32-E72D297353CC}">
              <c16:uniqueId val="{00000002-2BBB-4A08-9DCC-44AE535E54B7}"/>
            </c:ext>
          </c:extLst>
        </c:ser>
        <c:ser>
          <c:idx val="3"/>
          <c:order val="3"/>
          <c:tx>
            <c:v>Grid Import</c:v>
          </c:tx>
          <c:spPr>
            <a:ln w="28575" cap="rnd">
              <a:solidFill>
                <a:schemeClr val="accent4"/>
              </a:solidFill>
              <a:round/>
            </a:ln>
            <a:effectLst/>
          </c:spPr>
          <c:marker>
            <c:symbol val="circle"/>
            <c:size val="5"/>
            <c:spPr>
              <a:solidFill>
                <a:schemeClr val="accent4"/>
              </a:solidFill>
              <a:ln w="9525">
                <a:solidFill>
                  <a:schemeClr val="accent4"/>
                </a:solidFill>
              </a:ln>
              <a:effectLst/>
            </c:spPr>
          </c:marker>
          <c:cat>
            <c:multiLvlStrRef>
              <c:f>'Hourly Data'!$C$2:$D$25</c:f>
              <c:multiLvlStrCache>
                <c:ptCount val="24"/>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'Hourly Data'!$H$2:$H$25</c:f>
              <c:numCache>
                <c:formatCode>General</c:formatCode>
                <c:ptCount val="24"/>
                <c:pt idx="0">
                  <c:v>41.8</c:v>
                </c:pt>
                <c:pt idx="1">
                  <c:v>38.200000000000003</c:v>
                </c:pt>
                <c:pt idx="2">
                  <c:v>39.700000000000003</c:v>
                </c:pt>
                <c:pt idx="3">
                  <c:v>39.299999999999997</c:v>
                </c:pt>
                <c:pt idx="4">
                  <c:v>42.4</c:v>
                </c:pt>
                <c:pt idx="5">
                  <c:v>59.1</c:v>
                </c:pt>
                <c:pt idx="6">
                  <c:v>52.000000000000007</c:v>
                </c:pt>
                <c:pt idx="7">
                  <c:v>48.8</c:v>
                </c:pt>
                <c:pt idx="8">
                  <c:v>26.1</c:v>
                </c:pt>
                <c:pt idx="9">
                  <c:v>4.7000000000000028</c:v>
                </c:pt>
                <c:pt idx="10">
                  <c:v>0</c:v>
                </c:pt>
                <c:pt idx="11">
                  <c:v>0</c:v>
                </c:pt>
                <c:pt idx="12">
                  <c:v>0</c:v>
                </c:pt>
                <c:pt idx="13">
                  <c:v>0</c:v>
                </c:pt>
                <c:pt idx="14">
                  <c:v>0</c:v>
                </c:pt>
                <c:pt idx="15">
                  <c:v>9.2000000000000028</c:v>
                </c:pt>
                <c:pt idx="16">
                  <c:v>31.699999999999996</c:v>
                </c:pt>
                <c:pt idx="17">
                  <c:v>52.3</c:v>
                </c:pt>
                <c:pt idx="18">
                  <c:v>52.3</c:v>
                </c:pt>
                <c:pt idx="19">
                  <c:v>72.2</c:v>
                </c:pt>
                <c:pt idx="20">
                  <c:v>55.8</c:v>
                </c:pt>
                <c:pt idx="21">
                  <c:v>52.3</c:v>
                </c:pt>
                <c:pt idx="22">
                  <c:v>41.3</c:v>
                </c:pt>
                <c:pt idx="23">
                  <c:v>43</c:v>
                </c:pt>
              </c:numCache>
            </c:numRef>
          </c:val>
          <c:smooth val="0"/>
          <c:extLst>
            <c:ext xmlns:c16="http://schemas.microsoft.com/office/drawing/2014/chart" uri="{C3380CC4-5D6E-409C-BE32-E72D297353CC}">
              <c16:uniqueId val="{00000003-2BBB-4A08-9DCC-44AE535E54B7}"/>
            </c:ext>
          </c:extLst>
        </c:ser>
        <c:ser>
          <c:idx val="4"/>
          <c:order val="4"/>
          <c:tx>
            <c:v>PV Surplus</c:v>
          </c:tx>
          <c:spPr>
            <a:ln w="28575" cap="rnd">
              <a:solidFill>
                <a:schemeClr val="accent5"/>
              </a:solidFill>
              <a:round/>
            </a:ln>
            <a:effectLst/>
          </c:spPr>
          <c:marker>
            <c:symbol val="circle"/>
            <c:size val="5"/>
            <c:spPr>
              <a:solidFill>
                <a:schemeClr val="accent5"/>
              </a:solidFill>
              <a:ln w="9525">
                <a:solidFill>
                  <a:schemeClr val="accent5"/>
                </a:solidFill>
              </a:ln>
              <a:effectLst/>
            </c:spPr>
          </c:marker>
          <c:cat>
            <c:multiLvlStrRef>
              <c:f>'Hourly Data'!$C$2:$D$25</c:f>
              <c:multiLvlStrCache>
                <c:ptCount val="24"/>
                <c:lvl>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lvl>
                <c:lvl>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lvl>
              </c:multiLvlStrCache>
            </c:multiLvlStrRef>
          </c:cat>
          <c:val>
            <c:numRef>
              <c:f>'Hourly Data'!$I$2:$I$25</c:f>
              <c:numCache>
                <c:formatCode>General</c:formatCode>
                <c:ptCount val="24"/>
                <c:pt idx="0">
                  <c:v>0</c:v>
                </c:pt>
                <c:pt idx="1">
                  <c:v>0</c:v>
                </c:pt>
                <c:pt idx="2">
                  <c:v>0</c:v>
                </c:pt>
                <c:pt idx="3">
                  <c:v>0</c:v>
                </c:pt>
                <c:pt idx="4">
                  <c:v>0</c:v>
                </c:pt>
                <c:pt idx="5">
                  <c:v>0</c:v>
                </c:pt>
                <c:pt idx="6">
                  <c:v>0</c:v>
                </c:pt>
                <c:pt idx="7">
                  <c:v>0</c:v>
                </c:pt>
                <c:pt idx="8">
                  <c:v>0</c:v>
                </c:pt>
                <c:pt idx="9">
                  <c:v>0</c:v>
                </c:pt>
                <c:pt idx="10">
                  <c:v>18.799999999999997</c:v>
                </c:pt>
                <c:pt idx="11">
                  <c:v>42.5</c:v>
                </c:pt>
                <c:pt idx="12">
                  <c:v>55.400000000000006</c:v>
                </c:pt>
                <c:pt idx="13">
                  <c:v>42.500000000000014</c:v>
                </c:pt>
                <c:pt idx="14">
                  <c:v>19.600000000000009</c:v>
                </c:pt>
                <c:pt idx="15">
                  <c:v>0</c:v>
                </c:pt>
                <c:pt idx="16">
                  <c:v>0</c:v>
                </c:pt>
                <c:pt idx="17">
                  <c:v>0</c:v>
                </c:pt>
                <c:pt idx="18">
                  <c:v>0</c:v>
                </c:pt>
                <c:pt idx="19">
                  <c:v>0</c:v>
                </c:pt>
                <c:pt idx="20">
                  <c:v>0</c:v>
                </c:pt>
                <c:pt idx="21">
                  <c:v>0</c:v>
                </c:pt>
                <c:pt idx="22">
                  <c:v>0</c:v>
                </c:pt>
                <c:pt idx="23">
                  <c:v>0</c:v>
                </c:pt>
              </c:numCache>
            </c:numRef>
          </c:val>
          <c:smooth val="0"/>
          <c:extLst>
            <c:ext xmlns:c16="http://schemas.microsoft.com/office/drawing/2014/chart" uri="{C3380CC4-5D6E-409C-BE32-E72D297353CC}">
              <c16:uniqueId val="{00000004-2BBB-4A08-9DCC-44AE535E54B7}"/>
            </c:ext>
          </c:extLst>
        </c:ser>
        <c:dLbls>
          <c:dLblPos val="t"/>
          <c:showLegendKey val="0"/>
          <c:showVal val="0"/>
          <c:showCatName val="0"/>
          <c:showSerName val="0"/>
          <c:showPercent val="0"/>
          <c:showBubbleSize val="0"/>
        </c:dLbls>
        <c:marker val="1"/>
        <c:smooth val="0"/>
        <c:axId val="954190224"/>
        <c:axId val="954190704"/>
      </c:lineChart>
      <c:catAx>
        <c:axId val="954190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 (h)</a:t>
                </a:r>
                <a:endParaRPr lang="en-K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4190704"/>
        <c:crosses val="autoZero"/>
        <c:auto val="1"/>
        <c:lblAlgn val="ctr"/>
        <c:lblOffset val="100"/>
        <c:noMultiLvlLbl val="0"/>
      </c:catAx>
      <c:valAx>
        <c:axId val="954190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Power (kW)</a:t>
                </a:r>
                <a:endParaRPr lang="en-KE"/>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54190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10</xdr:col>
      <xdr:colOff>175260</xdr:colOff>
      <xdr:row>1</xdr:row>
      <xdr:rowOff>114300</xdr:rowOff>
    </xdr:from>
    <xdr:to>
      <xdr:col>17</xdr:col>
      <xdr:colOff>586740</xdr:colOff>
      <xdr:row>16</xdr:row>
      <xdr:rowOff>114300</xdr:rowOff>
    </xdr:to>
    <xdr:graphicFrame macro="">
      <xdr:nvGraphicFramePr>
        <xdr:cNvPr id="2" name="Chart 1">
          <a:extLst>
            <a:ext uri="{FF2B5EF4-FFF2-40B4-BE49-F238E27FC236}">
              <a16:creationId xmlns:a16="http://schemas.microsoft.com/office/drawing/2014/main" id="{0EA8EB71-A6E2-BD1B-977A-933A565A42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1"/>
  <sheetViews>
    <sheetView showGridLines="0" zoomScaleNormal="100" workbookViewId="0">
      <selection activeCell="A24" sqref="A24:H24"/>
    </sheetView>
  </sheetViews>
  <sheetFormatPr defaultColWidth="8.6640625" defaultRowHeight="14.4" x14ac:dyDescent="0.3"/>
  <cols>
    <col min="1" max="2" width="28" customWidth="1"/>
    <col min="3" max="3" width="12" customWidth="1"/>
    <col min="4" max="5" width="14" customWidth="1"/>
    <col min="6" max="7" width="12" customWidth="1"/>
    <col min="8" max="8" width="20" customWidth="1"/>
  </cols>
  <sheetData>
    <row r="1" spans="1:8" ht="27.75" customHeight="1" x14ac:dyDescent="0.3">
      <c r="A1" s="10" t="s">
        <v>0</v>
      </c>
      <c r="B1" s="10"/>
      <c r="C1" s="10"/>
      <c r="D1" s="10"/>
      <c r="E1" s="10"/>
      <c r="F1" s="10"/>
      <c r="G1" s="10"/>
      <c r="H1" s="10"/>
    </row>
    <row r="2" spans="1:8" ht="18" customHeight="1" x14ac:dyDescent="0.3">
      <c r="A2" s="9" t="s">
        <v>1</v>
      </c>
      <c r="B2" s="9"/>
      <c r="C2" s="9"/>
      <c r="D2" s="9"/>
      <c r="E2" s="9"/>
      <c r="F2" s="9"/>
      <c r="G2" s="9"/>
      <c r="H2" s="9"/>
    </row>
    <row r="4" spans="1:8" ht="15.75" customHeight="1" x14ac:dyDescent="0.3">
      <c r="A4" s="8" t="s">
        <v>2</v>
      </c>
      <c r="B4" s="8"/>
      <c r="C4" s="8"/>
      <c r="D4" s="8"/>
      <c r="E4" s="8"/>
      <c r="F4" s="8"/>
      <c r="G4" s="8"/>
      <c r="H4" s="8"/>
    </row>
    <row r="5" spans="1:8" ht="15" customHeight="1" x14ac:dyDescent="0.3">
      <c r="A5" s="11" t="s">
        <v>3</v>
      </c>
      <c r="B5" s="12" t="s">
        <v>4</v>
      </c>
      <c r="D5" s="7" t="s">
        <v>5</v>
      </c>
      <c r="E5" s="7"/>
      <c r="F5" s="7"/>
      <c r="G5" s="7"/>
      <c r="H5" s="7"/>
    </row>
    <row r="6" spans="1:8" ht="15" customHeight="1" x14ac:dyDescent="0.3">
      <c r="A6" s="11" t="s">
        <v>6</v>
      </c>
      <c r="B6" s="12" t="s">
        <v>7</v>
      </c>
      <c r="D6" s="7" t="s">
        <v>8</v>
      </c>
      <c r="E6" s="7"/>
      <c r="F6" s="7"/>
      <c r="G6" s="7"/>
      <c r="H6" s="7"/>
    </row>
    <row r="7" spans="1:8" ht="15" customHeight="1" x14ac:dyDescent="0.3">
      <c r="A7" s="11" t="s">
        <v>9</v>
      </c>
      <c r="B7" s="12" t="s">
        <v>10</v>
      </c>
      <c r="C7" s="13" t="s">
        <v>11</v>
      </c>
      <c r="D7" s="7" t="s">
        <v>12</v>
      </c>
      <c r="E7" s="7"/>
      <c r="F7" s="7"/>
      <c r="G7" s="7"/>
      <c r="H7" s="7"/>
    </row>
    <row r="8" spans="1:8" ht="15" customHeight="1" x14ac:dyDescent="0.3">
      <c r="A8" s="11" t="s">
        <v>13</v>
      </c>
      <c r="B8" s="12" t="s">
        <v>14</v>
      </c>
      <c r="D8" s="7" t="s">
        <v>15</v>
      </c>
      <c r="E8" s="7"/>
      <c r="F8" s="7"/>
      <c r="G8" s="7"/>
      <c r="H8" s="7"/>
    </row>
    <row r="9" spans="1:8" ht="15" customHeight="1" x14ac:dyDescent="0.3">
      <c r="A9" s="11" t="s">
        <v>16</v>
      </c>
      <c r="B9" s="12">
        <v>200</v>
      </c>
      <c r="C9" s="13" t="s">
        <v>17</v>
      </c>
      <c r="D9" s="7" t="s">
        <v>18</v>
      </c>
      <c r="E9" s="7"/>
      <c r="F9" s="7"/>
      <c r="G9" s="7"/>
      <c r="H9" s="7"/>
    </row>
    <row r="10" spans="1:8" ht="15" customHeight="1" x14ac:dyDescent="0.3">
      <c r="A10" s="11" t="s">
        <v>19</v>
      </c>
      <c r="B10" s="12" t="s">
        <v>20</v>
      </c>
      <c r="D10" s="7" t="s">
        <v>21</v>
      </c>
      <c r="E10" s="7"/>
      <c r="F10" s="7"/>
      <c r="G10" s="7"/>
      <c r="H10" s="7"/>
    </row>
    <row r="11" spans="1:8" ht="15" customHeight="1" x14ac:dyDescent="0.3">
      <c r="A11" s="11" t="s">
        <v>22</v>
      </c>
      <c r="B11" s="12" t="s">
        <v>23</v>
      </c>
      <c r="D11" s="7" t="s">
        <v>24</v>
      </c>
      <c r="E11" s="7"/>
      <c r="F11" s="7"/>
      <c r="G11" s="7"/>
      <c r="H11" s="7"/>
    </row>
    <row r="12" spans="1:8" ht="15" customHeight="1" x14ac:dyDescent="0.3">
      <c r="A12" s="11" t="s">
        <v>25</v>
      </c>
      <c r="B12" s="12">
        <v>145</v>
      </c>
      <c r="C12" s="13" t="s">
        <v>26</v>
      </c>
      <c r="D12" s="7" t="s">
        <v>27</v>
      </c>
      <c r="E12" s="7"/>
      <c r="F12" s="7"/>
      <c r="G12" s="7"/>
      <c r="H12" s="7"/>
    </row>
    <row r="14" spans="1:8" ht="15.75" customHeight="1" x14ac:dyDescent="0.3">
      <c r="A14" s="8" t="s">
        <v>28</v>
      </c>
      <c r="B14" s="8"/>
      <c r="C14" s="8"/>
      <c r="D14" s="8"/>
      <c r="E14" s="8"/>
      <c r="F14" s="8"/>
      <c r="G14" s="8"/>
      <c r="H14" s="8"/>
    </row>
    <row r="15" spans="1:8" ht="15" customHeight="1" x14ac:dyDescent="0.3">
      <c r="A15" s="11" t="s">
        <v>29</v>
      </c>
      <c r="B15" s="12">
        <v>21.5</v>
      </c>
      <c r="C15" s="13" t="s">
        <v>30</v>
      </c>
      <c r="D15" s="7" t="s">
        <v>31</v>
      </c>
      <c r="E15" s="7"/>
      <c r="F15" s="7"/>
      <c r="G15" s="7"/>
      <c r="H15" s="7"/>
    </row>
    <row r="16" spans="1:8" ht="15" customHeight="1" x14ac:dyDescent="0.3">
      <c r="A16" s="11" t="s">
        <v>32</v>
      </c>
      <c r="B16" s="12">
        <v>10.199999999999999</v>
      </c>
      <c r="C16" s="13" t="s">
        <v>30</v>
      </c>
      <c r="D16" s="7" t="s">
        <v>33</v>
      </c>
      <c r="E16" s="7"/>
      <c r="F16" s="7"/>
      <c r="G16" s="7"/>
      <c r="H16" s="7"/>
    </row>
    <row r="17" spans="1:8" ht="15" customHeight="1" x14ac:dyDescent="0.3">
      <c r="A17" s="11" t="s">
        <v>34</v>
      </c>
      <c r="B17" s="12">
        <v>3.2</v>
      </c>
      <c r="C17" s="13" t="s">
        <v>30</v>
      </c>
      <c r="D17" s="7" t="s">
        <v>35</v>
      </c>
      <c r="E17" s="7"/>
      <c r="F17" s="7"/>
      <c r="G17" s="7"/>
      <c r="H17" s="7"/>
    </row>
    <row r="18" spans="1:8" ht="15" customHeight="1" x14ac:dyDescent="0.3">
      <c r="A18" s="11" t="s">
        <v>36</v>
      </c>
      <c r="B18" s="12">
        <v>0.3</v>
      </c>
      <c r="C18" s="13" t="s">
        <v>30</v>
      </c>
      <c r="D18" s="7" t="s">
        <v>37</v>
      </c>
      <c r="E18" s="7"/>
      <c r="F18" s="7"/>
      <c r="G18" s="7"/>
      <c r="H18" s="7"/>
    </row>
    <row r="19" spans="1:8" ht="15" customHeight="1" x14ac:dyDescent="0.3">
      <c r="A19" s="11" t="s">
        <v>38</v>
      </c>
      <c r="B19" s="12">
        <v>25</v>
      </c>
      <c r="C19" s="13" t="s">
        <v>30</v>
      </c>
      <c r="D19" s="7" t="s">
        <v>39</v>
      </c>
      <c r="E19" s="7"/>
      <c r="F19" s="7"/>
      <c r="G19" s="7"/>
      <c r="H19" s="7"/>
    </row>
    <row r="20" spans="1:8" ht="15" customHeight="1" x14ac:dyDescent="0.3">
      <c r="A20" s="11" t="s">
        <v>40</v>
      </c>
      <c r="B20" s="12">
        <v>850</v>
      </c>
      <c r="C20" s="13" t="s">
        <v>41</v>
      </c>
      <c r="D20" s="7" t="s">
        <v>42</v>
      </c>
      <c r="E20" s="7"/>
      <c r="F20" s="7"/>
      <c r="G20" s="7"/>
      <c r="H20" s="7"/>
    </row>
    <row r="21" spans="1:8" ht="15" customHeight="1" x14ac:dyDescent="0.3">
      <c r="A21" s="11" t="s">
        <v>43</v>
      </c>
      <c r="B21" s="12">
        <v>2200</v>
      </c>
      <c r="C21" s="13" t="s">
        <v>44</v>
      </c>
    </row>
    <row r="22" spans="1:8" ht="15" customHeight="1" x14ac:dyDescent="0.3">
      <c r="A22" s="11" t="s">
        <v>45</v>
      </c>
      <c r="B22" s="12">
        <v>129.5</v>
      </c>
      <c r="C22" s="13" t="s">
        <v>46</v>
      </c>
      <c r="D22" s="7" t="s">
        <v>47</v>
      </c>
      <c r="E22" s="7"/>
      <c r="F22" s="7"/>
      <c r="G22" s="7"/>
      <c r="H22" s="7"/>
    </row>
    <row r="24" spans="1:8" ht="15.75" customHeight="1" x14ac:dyDescent="0.3">
      <c r="A24" s="8" t="s">
        <v>48</v>
      </c>
      <c r="B24" s="8"/>
      <c r="C24" s="8"/>
      <c r="D24" s="8"/>
      <c r="E24" s="8"/>
      <c r="F24" s="8"/>
      <c r="G24" s="8"/>
      <c r="H24" s="8"/>
    </row>
    <row r="25" spans="1:8" ht="109.5" customHeight="1" x14ac:dyDescent="0.3">
      <c r="A25" s="6" t="s">
        <v>49</v>
      </c>
      <c r="B25" s="6"/>
      <c r="C25" s="6"/>
      <c r="D25" s="6"/>
      <c r="E25" s="6"/>
      <c r="F25" s="6"/>
      <c r="G25" s="6"/>
      <c r="H25" s="6"/>
    </row>
    <row r="26" spans="1:8" x14ac:dyDescent="0.3">
      <c r="A26" s="6"/>
      <c r="B26" s="6"/>
      <c r="C26" s="6"/>
      <c r="D26" s="6"/>
      <c r="E26" s="6"/>
      <c r="F26" s="6"/>
      <c r="G26" s="6"/>
      <c r="H26" s="6"/>
    </row>
    <row r="27" spans="1:8" x14ac:dyDescent="0.3">
      <c r="A27" s="6"/>
      <c r="B27" s="6"/>
      <c r="C27" s="6"/>
      <c r="D27" s="6"/>
      <c r="E27" s="6"/>
      <c r="F27" s="6"/>
      <c r="G27" s="6"/>
      <c r="H27" s="6"/>
    </row>
    <row r="28" spans="1:8" x14ac:dyDescent="0.3">
      <c r="A28" s="6"/>
      <c r="B28" s="6"/>
      <c r="C28" s="6"/>
      <c r="D28" s="6"/>
      <c r="E28" s="6"/>
      <c r="F28" s="6"/>
      <c r="G28" s="6"/>
      <c r="H28" s="6"/>
    </row>
    <row r="29" spans="1:8" x14ac:dyDescent="0.3">
      <c r="A29" s="6"/>
      <c r="B29" s="6"/>
      <c r="C29" s="6"/>
      <c r="D29" s="6"/>
      <c r="E29" s="6"/>
      <c r="F29" s="6"/>
      <c r="G29" s="6"/>
      <c r="H29" s="6"/>
    </row>
    <row r="30" spans="1:8" x14ac:dyDescent="0.3">
      <c r="A30" s="6"/>
      <c r="B30" s="6"/>
      <c r="C30" s="6"/>
      <c r="D30" s="6"/>
      <c r="E30" s="6"/>
      <c r="F30" s="6"/>
      <c r="G30" s="6"/>
      <c r="H30" s="6"/>
    </row>
    <row r="31" spans="1:8" x14ac:dyDescent="0.3">
      <c r="A31" s="6"/>
      <c r="B31" s="6"/>
      <c r="C31" s="6"/>
      <c r="D31" s="6"/>
      <c r="E31" s="6"/>
      <c r="F31" s="6"/>
      <c r="G31" s="6"/>
      <c r="H31" s="6"/>
    </row>
  </sheetData>
  <mergeCells count="21">
    <mergeCell ref="A25:H31"/>
    <mergeCell ref="D18:H18"/>
    <mergeCell ref="D19:H19"/>
    <mergeCell ref="D20:H20"/>
    <mergeCell ref="D22:H22"/>
    <mergeCell ref="A24:H24"/>
    <mergeCell ref="D12:H12"/>
    <mergeCell ref="A14:H14"/>
    <mergeCell ref="D15:H15"/>
    <mergeCell ref="D16:H16"/>
    <mergeCell ref="D17:H17"/>
    <mergeCell ref="D7:H7"/>
    <mergeCell ref="D8:H8"/>
    <mergeCell ref="D9:H9"/>
    <mergeCell ref="D10:H10"/>
    <mergeCell ref="D11:H11"/>
    <mergeCell ref="A1:H1"/>
    <mergeCell ref="A2:H2"/>
    <mergeCell ref="A4:H4"/>
    <mergeCell ref="D5:H5"/>
    <mergeCell ref="D6:H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69"/>
  <sheetViews>
    <sheetView showGridLines="0" tabSelected="1" zoomScaleNormal="100" workbookViewId="0">
      <selection activeCell="L24" sqref="L24"/>
    </sheetView>
  </sheetViews>
  <sheetFormatPr defaultColWidth="8.6640625" defaultRowHeight="14.4" x14ac:dyDescent="0.3"/>
  <cols>
    <col min="1" max="1" width="6" customWidth="1"/>
    <col min="2" max="2" width="12" customWidth="1"/>
    <col min="3" max="3" width="7" customWidth="1"/>
    <col min="4" max="4" width="8" customWidth="1"/>
    <col min="5" max="7" width="12" customWidth="1"/>
    <col min="8" max="8" width="14" customWidth="1"/>
    <col min="9" max="9" width="13" customWidth="1"/>
    <col min="10" max="10" width="18" customWidth="1"/>
  </cols>
  <sheetData>
    <row r="1" spans="1:10" ht="15.75" customHeight="1" x14ac:dyDescent="0.3">
      <c r="A1" s="14" t="s">
        <v>50</v>
      </c>
      <c r="B1" s="14" t="s">
        <v>51</v>
      </c>
      <c r="C1" s="14" t="s">
        <v>52</v>
      </c>
      <c r="D1" s="14" t="s">
        <v>53</v>
      </c>
      <c r="E1" s="14" t="s">
        <v>54</v>
      </c>
      <c r="F1" s="14" t="s">
        <v>55</v>
      </c>
      <c r="G1" s="14" t="s">
        <v>56</v>
      </c>
      <c r="H1" s="14" t="s">
        <v>57</v>
      </c>
      <c r="I1" s="14" t="s">
        <v>58</v>
      </c>
      <c r="J1" s="14" t="s">
        <v>59</v>
      </c>
    </row>
    <row r="2" spans="1:10" x14ac:dyDescent="0.3">
      <c r="A2" s="15">
        <v>1</v>
      </c>
      <c r="B2" s="15" t="s">
        <v>60</v>
      </c>
      <c r="C2" s="15">
        <v>0</v>
      </c>
      <c r="D2" s="15" t="s">
        <v>61</v>
      </c>
      <c r="E2" s="16">
        <v>41.8</v>
      </c>
      <c r="F2" s="17">
        <v>0</v>
      </c>
      <c r="G2" s="18">
        <f t="shared" ref="G2:G33" si="0">E2-F2</f>
        <v>41.8</v>
      </c>
      <c r="H2" s="18">
        <f t="shared" ref="H2:H33" si="1">MAX(G2,0)</f>
        <v>41.8</v>
      </c>
      <c r="I2" s="18">
        <f t="shared" ref="I2:I33" si="2">MAX(-G2,0)</f>
        <v>0</v>
      </c>
      <c r="J2" s="15" t="s">
        <v>62</v>
      </c>
    </row>
    <row r="3" spans="1:10" x14ac:dyDescent="0.3">
      <c r="A3" s="15">
        <v>1</v>
      </c>
      <c r="B3" s="15" t="s">
        <v>60</v>
      </c>
      <c r="C3" s="15">
        <v>1</v>
      </c>
      <c r="D3" s="15" t="s">
        <v>63</v>
      </c>
      <c r="E3" s="16">
        <v>38.200000000000003</v>
      </c>
      <c r="F3" s="17">
        <v>0</v>
      </c>
      <c r="G3" s="18">
        <f t="shared" si="0"/>
        <v>38.200000000000003</v>
      </c>
      <c r="H3" s="18">
        <f t="shared" si="1"/>
        <v>38.200000000000003</v>
      </c>
      <c r="I3" s="18">
        <f t="shared" si="2"/>
        <v>0</v>
      </c>
      <c r="J3" s="15" t="s">
        <v>62</v>
      </c>
    </row>
    <row r="4" spans="1:10" x14ac:dyDescent="0.3">
      <c r="A4" s="15">
        <v>1</v>
      </c>
      <c r="B4" s="15" t="s">
        <v>60</v>
      </c>
      <c r="C4" s="15">
        <v>2</v>
      </c>
      <c r="D4" s="15" t="s">
        <v>64</v>
      </c>
      <c r="E4" s="16">
        <v>39.700000000000003</v>
      </c>
      <c r="F4" s="17">
        <v>0</v>
      </c>
      <c r="G4" s="18">
        <f t="shared" si="0"/>
        <v>39.700000000000003</v>
      </c>
      <c r="H4" s="18">
        <f t="shared" si="1"/>
        <v>39.700000000000003</v>
      </c>
      <c r="I4" s="18">
        <f t="shared" si="2"/>
        <v>0</v>
      </c>
      <c r="J4" s="15" t="s">
        <v>62</v>
      </c>
    </row>
    <row r="5" spans="1:10" x14ac:dyDescent="0.3">
      <c r="A5" s="15">
        <v>1</v>
      </c>
      <c r="B5" s="15" t="s">
        <v>60</v>
      </c>
      <c r="C5" s="15">
        <v>3</v>
      </c>
      <c r="D5" s="15" t="s">
        <v>65</v>
      </c>
      <c r="E5" s="16">
        <v>39.299999999999997</v>
      </c>
      <c r="F5" s="17">
        <v>0</v>
      </c>
      <c r="G5" s="18">
        <f t="shared" si="0"/>
        <v>39.299999999999997</v>
      </c>
      <c r="H5" s="18">
        <f t="shared" si="1"/>
        <v>39.299999999999997</v>
      </c>
      <c r="I5" s="18">
        <f t="shared" si="2"/>
        <v>0</v>
      </c>
      <c r="J5" s="15" t="s">
        <v>62</v>
      </c>
    </row>
    <row r="6" spans="1:10" x14ac:dyDescent="0.3">
      <c r="A6" s="15">
        <v>1</v>
      </c>
      <c r="B6" s="15" t="s">
        <v>60</v>
      </c>
      <c r="C6" s="15">
        <v>4</v>
      </c>
      <c r="D6" s="15" t="s">
        <v>66</v>
      </c>
      <c r="E6" s="16">
        <v>42.4</v>
      </c>
      <c r="F6" s="17">
        <v>0</v>
      </c>
      <c r="G6" s="18">
        <f t="shared" si="0"/>
        <v>42.4</v>
      </c>
      <c r="H6" s="18">
        <f t="shared" si="1"/>
        <v>42.4</v>
      </c>
      <c r="I6" s="18">
        <f t="shared" si="2"/>
        <v>0</v>
      </c>
      <c r="J6" s="15" t="s">
        <v>62</v>
      </c>
    </row>
    <row r="7" spans="1:10" x14ac:dyDescent="0.3">
      <c r="A7" s="15">
        <v>1</v>
      </c>
      <c r="B7" s="15" t="s">
        <v>60</v>
      </c>
      <c r="C7" s="15">
        <v>5</v>
      </c>
      <c r="D7" s="15" t="s">
        <v>67</v>
      </c>
      <c r="E7" s="16">
        <v>59.1</v>
      </c>
      <c r="F7" s="17">
        <v>0</v>
      </c>
      <c r="G7" s="18">
        <f t="shared" si="0"/>
        <v>59.1</v>
      </c>
      <c r="H7" s="18">
        <f t="shared" si="1"/>
        <v>59.1</v>
      </c>
      <c r="I7" s="18">
        <f t="shared" si="2"/>
        <v>0</v>
      </c>
      <c r="J7" s="15" t="s">
        <v>62</v>
      </c>
    </row>
    <row r="8" spans="1:10" x14ac:dyDescent="0.3">
      <c r="A8" s="15">
        <v>1</v>
      </c>
      <c r="B8" s="15" t="s">
        <v>60</v>
      </c>
      <c r="C8" s="15">
        <v>6</v>
      </c>
      <c r="D8" s="15" t="s">
        <v>68</v>
      </c>
      <c r="E8" s="16">
        <v>72.400000000000006</v>
      </c>
      <c r="F8" s="19">
        <v>20.399999999999999</v>
      </c>
      <c r="G8" s="18">
        <f t="shared" si="0"/>
        <v>52.000000000000007</v>
      </c>
      <c r="H8" s="18">
        <f t="shared" si="1"/>
        <v>52.000000000000007</v>
      </c>
      <c r="I8" s="18">
        <f t="shared" si="2"/>
        <v>0</v>
      </c>
      <c r="J8" s="15" t="s">
        <v>69</v>
      </c>
    </row>
    <row r="9" spans="1:10" x14ac:dyDescent="0.3">
      <c r="A9" s="15">
        <v>1</v>
      </c>
      <c r="B9" s="15" t="s">
        <v>60</v>
      </c>
      <c r="C9" s="15">
        <v>7</v>
      </c>
      <c r="D9" s="15" t="s">
        <v>70</v>
      </c>
      <c r="E9" s="16">
        <v>85.5</v>
      </c>
      <c r="F9" s="19">
        <v>36.700000000000003</v>
      </c>
      <c r="G9" s="18">
        <f t="shared" si="0"/>
        <v>48.8</v>
      </c>
      <c r="H9" s="18">
        <f t="shared" si="1"/>
        <v>48.8</v>
      </c>
      <c r="I9" s="18">
        <f t="shared" si="2"/>
        <v>0</v>
      </c>
      <c r="J9" s="15" t="s">
        <v>69</v>
      </c>
    </row>
    <row r="10" spans="1:10" x14ac:dyDescent="0.3">
      <c r="A10" s="15">
        <v>1</v>
      </c>
      <c r="B10" s="15" t="s">
        <v>60</v>
      </c>
      <c r="C10" s="15">
        <v>8</v>
      </c>
      <c r="D10" s="15" t="s">
        <v>71</v>
      </c>
      <c r="E10" s="16">
        <v>89</v>
      </c>
      <c r="F10" s="19">
        <v>62.9</v>
      </c>
      <c r="G10" s="18">
        <f t="shared" si="0"/>
        <v>26.1</v>
      </c>
      <c r="H10" s="18">
        <f t="shared" si="1"/>
        <v>26.1</v>
      </c>
      <c r="I10" s="18">
        <f t="shared" si="2"/>
        <v>0</v>
      </c>
      <c r="J10" s="15" t="s">
        <v>69</v>
      </c>
    </row>
    <row r="11" spans="1:10" x14ac:dyDescent="0.3">
      <c r="A11" s="15">
        <v>1</v>
      </c>
      <c r="B11" s="15" t="s">
        <v>60</v>
      </c>
      <c r="C11" s="15">
        <v>9</v>
      </c>
      <c r="D11" s="15" t="s">
        <v>72</v>
      </c>
      <c r="E11" s="16">
        <v>90.8</v>
      </c>
      <c r="F11" s="19">
        <v>86.1</v>
      </c>
      <c r="G11" s="18">
        <f t="shared" si="0"/>
        <v>4.7000000000000028</v>
      </c>
      <c r="H11" s="18">
        <f t="shared" si="1"/>
        <v>4.7000000000000028</v>
      </c>
      <c r="I11" s="18">
        <f t="shared" si="2"/>
        <v>0</v>
      </c>
      <c r="J11" s="15" t="s">
        <v>69</v>
      </c>
    </row>
    <row r="12" spans="1:10" x14ac:dyDescent="0.3">
      <c r="A12" s="15">
        <v>1</v>
      </c>
      <c r="B12" s="15" t="s">
        <v>60</v>
      </c>
      <c r="C12" s="15">
        <v>10</v>
      </c>
      <c r="D12" s="15" t="s">
        <v>73</v>
      </c>
      <c r="E12" s="16">
        <v>94.5</v>
      </c>
      <c r="F12" s="19">
        <v>113.3</v>
      </c>
      <c r="G12" s="18">
        <f t="shared" si="0"/>
        <v>-18.799999999999997</v>
      </c>
      <c r="H12" s="18">
        <f t="shared" si="1"/>
        <v>0</v>
      </c>
      <c r="I12" s="18">
        <f t="shared" si="2"/>
        <v>18.799999999999997</v>
      </c>
      <c r="J12" s="15" t="s">
        <v>74</v>
      </c>
    </row>
    <row r="13" spans="1:10" x14ac:dyDescent="0.3">
      <c r="A13" s="15">
        <v>1</v>
      </c>
      <c r="B13" s="15" t="s">
        <v>60</v>
      </c>
      <c r="C13" s="15">
        <v>11</v>
      </c>
      <c r="D13" s="15" t="s">
        <v>75</v>
      </c>
      <c r="E13" s="16">
        <v>89</v>
      </c>
      <c r="F13" s="19">
        <v>131.5</v>
      </c>
      <c r="G13" s="18">
        <f t="shared" si="0"/>
        <v>-42.5</v>
      </c>
      <c r="H13" s="18">
        <f t="shared" si="1"/>
        <v>0</v>
      </c>
      <c r="I13" s="18">
        <f t="shared" si="2"/>
        <v>42.5</v>
      </c>
      <c r="J13" s="15" t="s">
        <v>74</v>
      </c>
    </row>
    <row r="14" spans="1:10" x14ac:dyDescent="0.3">
      <c r="A14" s="15">
        <v>1</v>
      </c>
      <c r="B14" s="15" t="s">
        <v>60</v>
      </c>
      <c r="C14" s="15">
        <v>12</v>
      </c>
      <c r="D14" s="15" t="s">
        <v>76</v>
      </c>
      <c r="E14" s="16">
        <v>77.900000000000006</v>
      </c>
      <c r="F14" s="19">
        <v>133.30000000000001</v>
      </c>
      <c r="G14" s="18">
        <f t="shared" si="0"/>
        <v>-55.400000000000006</v>
      </c>
      <c r="H14" s="18">
        <f t="shared" si="1"/>
        <v>0</v>
      </c>
      <c r="I14" s="18">
        <f t="shared" si="2"/>
        <v>55.400000000000006</v>
      </c>
      <c r="J14" s="15" t="s">
        <v>77</v>
      </c>
    </row>
    <row r="15" spans="1:10" x14ac:dyDescent="0.3">
      <c r="A15" s="15">
        <v>1</v>
      </c>
      <c r="B15" s="15" t="s">
        <v>60</v>
      </c>
      <c r="C15" s="15">
        <v>13</v>
      </c>
      <c r="D15" s="15" t="s">
        <v>78</v>
      </c>
      <c r="E15" s="16">
        <v>89.8</v>
      </c>
      <c r="F15" s="19">
        <v>132.30000000000001</v>
      </c>
      <c r="G15" s="18">
        <f t="shared" si="0"/>
        <v>-42.500000000000014</v>
      </c>
      <c r="H15" s="18">
        <f t="shared" si="1"/>
        <v>0</v>
      </c>
      <c r="I15" s="18">
        <f t="shared" si="2"/>
        <v>42.500000000000014</v>
      </c>
      <c r="J15" s="15" t="s">
        <v>74</v>
      </c>
    </row>
    <row r="16" spans="1:10" x14ac:dyDescent="0.3">
      <c r="A16" s="15">
        <v>1</v>
      </c>
      <c r="B16" s="15" t="s">
        <v>60</v>
      </c>
      <c r="C16" s="15">
        <v>14</v>
      </c>
      <c r="D16" s="15" t="s">
        <v>79</v>
      </c>
      <c r="E16" s="16">
        <v>90.6</v>
      </c>
      <c r="F16" s="19">
        <v>110.2</v>
      </c>
      <c r="G16" s="18">
        <f t="shared" si="0"/>
        <v>-19.600000000000009</v>
      </c>
      <c r="H16" s="18">
        <f t="shared" si="1"/>
        <v>0</v>
      </c>
      <c r="I16" s="18">
        <f t="shared" si="2"/>
        <v>19.600000000000009</v>
      </c>
      <c r="J16" s="15" t="s">
        <v>74</v>
      </c>
    </row>
    <row r="17" spans="1:10" x14ac:dyDescent="0.3">
      <c r="A17" s="15">
        <v>1</v>
      </c>
      <c r="B17" s="15" t="s">
        <v>60</v>
      </c>
      <c r="C17" s="15">
        <v>15</v>
      </c>
      <c r="D17" s="15" t="s">
        <v>80</v>
      </c>
      <c r="E17" s="16">
        <v>96.4</v>
      </c>
      <c r="F17" s="19">
        <v>87.2</v>
      </c>
      <c r="G17" s="18">
        <f t="shared" si="0"/>
        <v>9.2000000000000028</v>
      </c>
      <c r="H17" s="18">
        <f t="shared" si="1"/>
        <v>9.2000000000000028</v>
      </c>
      <c r="I17" s="18">
        <f t="shared" si="2"/>
        <v>0</v>
      </c>
      <c r="J17" s="15" t="s">
        <v>69</v>
      </c>
    </row>
    <row r="18" spans="1:10" x14ac:dyDescent="0.3">
      <c r="A18" s="15">
        <v>1</v>
      </c>
      <c r="B18" s="15" t="s">
        <v>60</v>
      </c>
      <c r="C18" s="15">
        <v>16</v>
      </c>
      <c r="D18" s="15" t="s">
        <v>81</v>
      </c>
      <c r="E18" s="16">
        <v>91.3</v>
      </c>
      <c r="F18" s="19">
        <v>59.6</v>
      </c>
      <c r="G18" s="18">
        <f t="shared" si="0"/>
        <v>31.699999999999996</v>
      </c>
      <c r="H18" s="18">
        <f t="shared" si="1"/>
        <v>31.699999999999996</v>
      </c>
      <c r="I18" s="18">
        <f t="shared" si="2"/>
        <v>0</v>
      </c>
      <c r="J18" s="15" t="s">
        <v>69</v>
      </c>
    </row>
    <row r="19" spans="1:10" x14ac:dyDescent="0.3">
      <c r="A19" s="15">
        <v>1</v>
      </c>
      <c r="B19" s="15" t="s">
        <v>60</v>
      </c>
      <c r="C19" s="15">
        <v>17</v>
      </c>
      <c r="D19" s="15" t="s">
        <v>82</v>
      </c>
      <c r="E19" s="16">
        <v>93.6</v>
      </c>
      <c r="F19" s="19">
        <v>41.3</v>
      </c>
      <c r="G19" s="18">
        <f t="shared" si="0"/>
        <v>52.3</v>
      </c>
      <c r="H19" s="18">
        <f t="shared" si="1"/>
        <v>52.3</v>
      </c>
      <c r="I19" s="18">
        <f t="shared" si="2"/>
        <v>0</v>
      </c>
      <c r="J19" s="15" t="s">
        <v>69</v>
      </c>
    </row>
    <row r="20" spans="1:10" x14ac:dyDescent="0.3">
      <c r="A20" s="15">
        <v>1</v>
      </c>
      <c r="B20" s="15" t="s">
        <v>60</v>
      </c>
      <c r="C20" s="15">
        <v>18</v>
      </c>
      <c r="D20" s="15" t="s">
        <v>83</v>
      </c>
      <c r="E20" s="16">
        <v>77.8</v>
      </c>
      <c r="F20" s="19">
        <v>25.5</v>
      </c>
      <c r="G20" s="18">
        <f t="shared" si="0"/>
        <v>52.3</v>
      </c>
      <c r="H20" s="18">
        <f t="shared" si="1"/>
        <v>52.3</v>
      </c>
      <c r="I20" s="18">
        <f t="shared" si="2"/>
        <v>0</v>
      </c>
      <c r="J20" s="15" t="s">
        <v>69</v>
      </c>
    </row>
    <row r="21" spans="1:10" x14ac:dyDescent="0.3">
      <c r="A21" s="15">
        <v>1</v>
      </c>
      <c r="B21" s="15" t="s">
        <v>60</v>
      </c>
      <c r="C21" s="15">
        <v>19</v>
      </c>
      <c r="D21" s="15" t="s">
        <v>84</v>
      </c>
      <c r="E21" s="16">
        <v>72.2</v>
      </c>
      <c r="F21" s="17">
        <v>0</v>
      </c>
      <c r="G21" s="18">
        <f t="shared" si="0"/>
        <v>72.2</v>
      </c>
      <c r="H21" s="18">
        <f t="shared" si="1"/>
        <v>72.2</v>
      </c>
      <c r="I21" s="18">
        <f t="shared" si="2"/>
        <v>0</v>
      </c>
      <c r="J21" s="15" t="s">
        <v>69</v>
      </c>
    </row>
    <row r="22" spans="1:10" x14ac:dyDescent="0.3">
      <c r="A22" s="15">
        <v>1</v>
      </c>
      <c r="B22" s="15" t="s">
        <v>60</v>
      </c>
      <c r="C22" s="15">
        <v>20</v>
      </c>
      <c r="D22" s="15" t="s">
        <v>85</v>
      </c>
      <c r="E22" s="16">
        <v>55.8</v>
      </c>
      <c r="F22" s="17">
        <v>0</v>
      </c>
      <c r="G22" s="18">
        <f t="shared" si="0"/>
        <v>55.8</v>
      </c>
      <c r="H22" s="18">
        <f t="shared" si="1"/>
        <v>55.8</v>
      </c>
      <c r="I22" s="18">
        <f t="shared" si="2"/>
        <v>0</v>
      </c>
      <c r="J22" s="15" t="s">
        <v>69</v>
      </c>
    </row>
    <row r="23" spans="1:10" x14ac:dyDescent="0.3">
      <c r="A23" s="15">
        <v>1</v>
      </c>
      <c r="B23" s="15" t="s">
        <v>60</v>
      </c>
      <c r="C23" s="15">
        <v>21</v>
      </c>
      <c r="D23" s="15" t="s">
        <v>86</v>
      </c>
      <c r="E23" s="16">
        <v>52.3</v>
      </c>
      <c r="F23" s="17">
        <v>0</v>
      </c>
      <c r="G23" s="18">
        <f t="shared" si="0"/>
        <v>52.3</v>
      </c>
      <c r="H23" s="18">
        <f t="shared" si="1"/>
        <v>52.3</v>
      </c>
      <c r="I23" s="18">
        <f t="shared" si="2"/>
        <v>0</v>
      </c>
      <c r="J23" s="15" t="s">
        <v>69</v>
      </c>
    </row>
    <row r="24" spans="1:10" x14ac:dyDescent="0.3">
      <c r="A24" s="15">
        <v>1</v>
      </c>
      <c r="B24" s="15" t="s">
        <v>60</v>
      </c>
      <c r="C24" s="15">
        <v>22</v>
      </c>
      <c r="D24" s="15" t="s">
        <v>87</v>
      </c>
      <c r="E24" s="16">
        <v>41.3</v>
      </c>
      <c r="F24" s="17">
        <v>0</v>
      </c>
      <c r="G24" s="18">
        <f t="shared" si="0"/>
        <v>41.3</v>
      </c>
      <c r="H24" s="18">
        <f t="shared" si="1"/>
        <v>41.3</v>
      </c>
      <c r="I24" s="18">
        <f t="shared" si="2"/>
        <v>0</v>
      </c>
      <c r="J24" s="15" t="s">
        <v>62</v>
      </c>
    </row>
    <row r="25" spans="1:10" x14ac:dyDescent="0.3">
      <c r="A25" s="15">
        <v>1</v>
      </c>
      <c r="B25" s="15" t="s">
        <v>60</v>
      </c>
      <c r="C25" s="15">
        <v>23</v>
      </c>
      <c r="D25" s="15" t="s">
        <v>88</v>
      </c>
      <c r="E25" s="16">
        <v>43</v>
      </c>
      <c r="F25" s="17">
        <v>0</v>
      </c>
      <c r="G25" s="18">
        <f t="shared" si="0"/>
        <v>43</v>
      </c>
      <c r="H25" s="18">
        <f t="shared" si="1"/>
        <v>43</v>
      </c>
      <c r="I25" s="18">
        <f t="shared" si="2"/>
        <v>0</v>
      </c>
      <c r="J25" s="15" t="s">
        <v>62</v>
      </c>
    </row>
    <row r="26" spans="1:10" x14ac:dyDescent="0.3">
      <c r="A26" s="15">
        <v>2</v>
      </c>
      <c r="B26" s="15" t="s">
        <v>89</v>
      </c>
      <c r="C26" s="15">
        <v>0</v>
      </c>
      <c r="D26" s="15" t="s">
        <v>61</v>
      </c>
      <c r="E26" s="16">
        <v>41.7</v>
      </c>
      <c r="F26" s="17">
        <v>0</v>
      </c>
      <c r="G26" s="18">
        <f t="shared" si="0"/>
        <v>41.7</v>
      </c>
      <c r="H26" s="18">
        <f t="shared" si="1"/>
        <v>41.7</v>
      </c>
      <c r="I26" s="18">
        <f t="shared" si="2"/>
        <v>0</v>
      </c>
      <c r="J26" s="15" t="s">
        <v>62</v>
      </c>
    </row>
    <row r="27" spans="1:10" x14ac:dyDescent="0.3">
      <c r="A27" s="15">
        <v>2</v>
      </c>
      <c r="B27" s="15" t="s">
        <v>89</v>
      </c>
      <c r="C27" s="15">
        <v>1</v>
      </c>
      <c r="D27" s="15" t="s">
        <v>63</v>
      </c>
      <c r="E27" s="16">
        <v>43.2</v>
      </c>
      <c r="F27" s="17">
        <v>0</v>
      </c>
      <c r="G27" s="18">
        <f t="shared" si="0"/>
        <v>43.2</v>
      </c>
      <c r="H27" s="18">
        <f t="shared" si="1"/>
        <v>43.2</v>
      </c>
      <c r="I27" s="18">
        <f t="shared" si="2"/>
        <v>0</v>
      </c>
      <c r="J27" s="15" t="s">
        <v>62</v>
      </c>
    </row>
    <row r="28" spans="1:10" x14ac:dyDescent="0.3">
      <c r="A28" s="15">
        <v>2</v>
      </c>
      <c r="B28" s="15" t="s">
        <v>89</v>
      </c>
      <c r="C28" s="15">
        <v>2</v>
      </c>
      <c r="D28" s="15" t="s">
        <v>64</v>
      </c>
      <c r="E28" s="16">
        <v>41.5</v>
      </c>
      <c r="F28" s="17">
        <v>0</v>
      </c>
      <c r="G28" s="18">
        <f t="shared" si="0"/>
        <v>41.5</v>
      </c>
      <c r="H28" s="18">
        <f t="shared" si="1"/>
        <v>41.5</v>
      </c>
      <c r="I28" s="18">
        <f t="shared" si="2"/>
        <v>0</v>
      </c>
      <c r="J28" s="15" t="s">
        <v>62</v>
      </c>
    </row>
    <row r="29" spans="1:10" x14ac:dyDescent="0.3">
      <c r="A29" s="15">
        <v>2</v>
      </c>
      <c r="B29" s="15" t="s">
        <v>89</v>
      </c>
      <c r="C29" s="15">
        <v>3</v>
      </c>
      <c r="D29" s="15" t="s">
        <v>65</v>
      </c>
      <c r="E29" s="16">
        <v>42.2</v>
      </c>
      <c r="F29" s="17">
        <v>0</v>
      </c>
      <c r="G29" s="18">
        <f t="shared" si="0"/>
        <v>42.2</v>
      </c>
      <c r="H29" s="18">
        <f t="shared" si="1"/>
        <v>42.2</v>
      </c>
      <c r="I29" s="18">
        <f t="shared" si="2"/>
        <v>0</v>
      </c>
      <c r="J29" s="15" t="s">
        <v>62</v>
      </c>
    </row>
    <row r="30" spans="1:10" x14ac:dyDescent="0.3">
      <c r="A30" s="15">
        <v>2</v>
      </c>
      <c r="B30" s="15" t="s">
        <v>89</v>
      </c>
      <c r="C30" s="15">
        <v>4</v>
      </c>
      <c r="D30" s="15" t="s">
        <v>66</v>
      </c>
      <c r="E30" s="16">
        <v>38.299999999999997</v>
      </c>
      <c r="F30" s="17">
        <v>0</v>
      </c>
      <c r="G30" s="18">
        <f t="shared" si="0"/>
        <v>38.299999999999997</v>
      </c>
      <c r="H30" s="18">
        <f t="shared" si="1"/>
        <v>38.299999999999997</v>
      </c>
      <c r="I30" s="18">
        <f t="shared" si="2"/>
        <v>0</v>
      </c>
      <c r="J30" s="15" t="s">
        <v>62</v>
      </c>
    </row>
    <row r="31" spans="1:10" x14ac:dyDescent="0.3">
      <c r="A31" s="15">
        <v>2</v>
      </c>
      <c r="B31" s="15" t="s">
        <v>89</v>
      </c>
      <c r="C31" s="15">
        <v>5</v>
      </c>
      <c r="D31" s="15" t="s">
        <v>67</v>
      </c>
      <c r="E31" s="16">
        <v>56.4</v>
      </c>
      <c r="F31" s="17">
        <v>0</v>
      </c>
      <c r="G31" s="18">
        <f t="shared" si="0"/>
        <v>56.4</v>
      </c>
      <c r="H31" s="18">
        <f t="shared" si="1"/>
        <v>56.4</v>
      </c>
      <c r="I31" s="18">
        <f t="shared" si="2"/>
        <v>0</v>
      </c>
      <c r="J31" s="15" t="s">
        <v>62</v>
      </c>
    </row>
    <row r="32" spans="1:10" x14ac:dyDescent="0.3">
      <c r="A32" s="15">
        <v>2</v>
      </c>
      <c r="B32" s="15" t="s">
        <v>89</v>
      </c>
      <c r="C32" s="15">
        <v>6</v>
      </c>
      <c r="D32" s="15" t="s">
        <v>68</v>
      </c>
      <c r="E32" s="16">
        <v>68.7</v>
      </c>
      <c r="F32" s="19">
        <v>22.2</v>
      </c>
      <c r="G32" s="18">
        <f t="shared" si="0"/>
        <v>46.5</v>
      </c>
      <c r="H32" s="18">
        <f t="shared" si="1"/>
        <v>46.5</v>
      </c>
      <c r="I32" s="18">
        <f t="shared" si="2"/>
        <v>0</v>
      </c>
      <c r="J32" s="15" t="s">
        <v>69</v>
      </c>
    </row>
    <row r="33" spans="1:10" x14ac:dyDescent="0.3">
      <c r="A33" s="15">
        <v>2</v>
      </c>
      <c r="B33" s="15" t="s">
        <v>89</v>
      </c>
      <c r="C33" s="15">
        <v>7</v>
      </c>
      <c r="D33" s="15" t="s">
        <v>70</v>
      </c>
      <c r="E33" s="16">
        <v>84.4</v>
      </c>
      <c r="F33" s="19">
        <v>40.5</v>
      </c>
      <c r="G33" s="18">
        <f t="shared" si="0"/>
        <v>43.900000000000006</v>
      </c>
      <c r="H33" s="18">
        <f t="shared" si="1"/>
        <v>43.900000000000006</v>
      </c>
      <c r="I33" s="18">
        <f t="shared" si="2"/>
        <v>0</v>
      </c>
      <c r="J33" s="15" t="s">
        <v>69</v>
      </c>
    </row>
    <row r="34" spans="1:10" x14ac:dyDescent="0.3">
      <c r="A34" s="15">
        <v>2</v>
      </c>
      <c r="B34" s="15" t="s">
        <v>89</v>
      </c>
      <c r="C34" s="15">
        <v>8</v>
      </c>
      <c r="D34" s="15" t="s">
        <v>71</v>
      </c>
      <c r="E34" s="16">
        <v>89.4</v>
      </c>
      <c r="F34" s="19">
        <v>68.900000000000006</v>
      </c>
      <c r="G34" s="18">
        <f t="shared" ref="G34:G65" si="3">E34-F34</f>
        <v>20.5</v>
      </c>
      <c r="H34" s="18">
        <f t="shared" ref="H34:H65" si="4">MAX(G34,0)</f>
        <v>20.5</v>
      </c>
      <c r="I34" s="18">
        <f t="shared" ref="I34:I65" si="5">MAX(-G34,0)</f>
        <v>0</v>
      </c>
      <c r="J34" s="15" t="s">
        <v>69</v>
      </c>
    </row>
    <row r="35" spans="1:10" x14ac:dyDescent="0.3">
      <c r="A35" s="15">
        <v>2</v>
      </c>
      <c r="B35" s="15" t="s">
        <v>89</v>
      </c>
      <c r="C35" s="15">
        <v>9</v>
      </c>
      <c r="D35" s="15" t="s">
        <v>72</v>
      </c>
      <c r="E35" s="16">
        <v>92.8</v>
      </c>
      <c r="F35" s="19">
        <v>94.5</v>
      </c>
      <c r="G35" s="18">
        <f t="shared" si="3"/>
        <v>-1.7000000000000028</v>
      </c>
      <c r="H35" s="18">
        <f t="shared" si="4"/>
        <v>0</v>
      </c>
      <c r="I35" s="18">
        <f t="shared" si="5"/>
        <v>1.7000000000000028</v>
      </c>
      <c r="J35" s="15" t="s">
        <v>74</v>
      </c>
    </row>
    <row r="36" spans="1:10" x14ac:dyDescent="0.3">
      <c r="A36" s="15">
        <v>2</v>
      </c>
      <c r="B36" s="15" t="s">
        <v>89</v>
      </c>
      <c r="C36" s="15">
        <v>10</v>
      </c>
      <c r="D36" s="15" t="s">
        <v>73</v>
      </c>
      <c r="E36" s="16">
        <v>91.9</v>
      </c>
      <c r="F36" s="19">
        <v>120</v>
      </c>
      <c r="G36" s="18">
        <f t="shared" si="3"/>
        <v>-28.099999999999994</v>
      </c>
      <c r="H36" s="18">
        <f t="shared" si="4"/>
        <v>0</v>
      </c>
      <c r="I36" s="18">
        <f t="shared" si="5"/>
        <v>28.099999999999994</v>
      </c>
      <c r="J36" s="15" t="s">
        <v>74</v>
      </c>
    </row>
    <row r="37" spans="1:10" x14ac:dyDescent="0.3">
      <c r="A37" s="15">
        <v>2</v>
      </c>
      <c r="B37" s="15" t="s">
        <v>89</v>
      </c>
      <c r="C37" s="15">
        <v>11</v>
      </c>
      <c r="D37" s="15" t="s">
        <v>75</v>
      </c>
      <c r="E37" s="16">
        <v>93.3</v>
      </c>
      <c r="F37" s="19">
        <v>142.30000000000001</v>
      </c>
      <c r="G37" s="18">
        <f t="shared" si="3"/>
        <v>-49.000000000000014</v>
      </c>
      <c r="H37" s="18">
        <f t="shared" si="4"/>
        <v>0</v>
      </c>
      <c r="I37" s="18">
        <f t="shared" si="5"/>
        <v>49.000000000000014</v>
      </c>
      <c r="J37" s="15" t="s">
        <v>74</v>
      </c>
    </row>
    <row r="38" spans="1:10" x14ac:dyDescent="0.3">
      <c r="A38" s="15">
        <v>2</v>
      </c>
      <c r="B38" s="15" t="s">
        <v>89</v>
      </c>
      <c r="C38" s="15">
        <v>12</v>
      </c>
      <c r="D38" s="15" t="s">
        <v>76</v>
      </c>
      <c r="E38" s="16">
        <v>76.7</v>
      </c>
      <c r="F38" s="19">
        <v>145.6</v>
      </c>
      <c r="G38" s="18">
        <f t="shared" si="3"/>
        <v>-68.899999999999991</v>
      </c>
      <c r="H38" s="18">
        <f t="shared" si="4"/>
        <v>0</v>
      </c>
      <c r="I38" s="18">
        <f t="shared" si="5"/>
        <v>68.899999999999991</v>
      </c>
      <c r="J38" s="15" t="s">
        <v>77</v>
      </c>
    </row>
    <row r="39" spans="1:10" x14ac:dyDescent="0.3">
      <c r="A39" s="15">
        <v>2</v>
      </c>
      <c r="B39" s="15" t="s">
        <v>89</v>
      </c>
      <c r="C39" s="15">
        <v>13</v>
      </c>
      <c r="D39" s="15" t="s">
        <v>78</v>
      </c>
      <c r="E39" s="16">
        <v>89.4</v>
      </c>
      <c r="F39" s="19">
        <v>138.4</v>
      </c>
      <c r="G39" s="18">
        <f t="shared" si="3"/>
        <v>-49</v>
      </c>
      <c r="H39" s="18">
        <f t="shared" si="4"/>
        <v>0</v>
      </c>
      <c r="I39" s="18">
        <f t="shared" si="5"/>
        <v>49</v>
      </c>
      <c r="J39" s="15" t="s">
        <v>74</v>
      </c>
    </row>
    <row r="40" spans="1:10" x14ac:dyDescent="0.3">
      <c r="A40" s="15">
        <v>2</v>
      </c>
      <c r="B40" s="15" t="s">
        <v>89</v>
      </c>
      <c r="C40" s="15">
        <v>14</v>
      </c>
      <c r="D40" s="15" t="s">
        <v>79</v>
      </c>
      <c r="E40" s="16">
        <v>90.8</v>
      </c>
      <c r="F40" s="19">
        <v>125.8</v>
      </c>
      <c r="G40" s="18">
        <f t="shared" si="3"/>
        <v>-35</v>
      </c>
      <c r="H40" s="18">
        <f t="shared" si="4"/>
        <v>0</v>
      </c>
      <c r="I40" s="18">
        <f t="shared" si="5"/>
        <v>35</v>
      </c>
      <c r="J40" s="15" t="s">
        <v>74</v>
      </c>
    </row>
    <row r="41" spans="1:10" x14ac:dyDescent="0.3">
      <c r="A41" s="15">
        <v>2</v>
      </c>
      <c r="B41" s="15" t="s">
        <v>89</v>
      </c>
      <c r="C41" s="15">
        <v>15</v>
      </c>
      <c r="D41" s="15" t="s">
        <v>80</v>
      </c>
      <c r="E41" s="16">
        <v>94.5</v>
      </c>
      <c r="F41" s="19">
        <v>96</v>
      </c>
      <c r="G41" s="18">
        <f t="shared" si="3"/>
        <v>-1.5</v>
      </c>
      <c r="H41" s="18">
        <f t="shared" si="4"/>
        <v>0</v>
      </c>
      <c r="I41" s="18">
        <f t="shared" si="5"/>
        <v>1.5</v>
      </c>
      <c r="J41" s="15" t="s">
        <v>74</v>
      </c>
    </row>
    <row r="42" spans="1:10" x14ac:dyDescent="0.3">
      <c r="A42" s="15">
        <v>2</v>
      </c>
      <c r="B42" s="15" t="s">
        <v>89</v>
      </c>
      <c r="C42" s="15">
        <v>16</v>
      </c>
      <c r="D42" s="15" t="s">
        <v>81</v>
      </c>
      <c r="E42" s="16">
        <v>94.8</v>
      </c>
      <c r="F42" s="19">
        <v>70.599999999999994</v>
      </c>
      <c r="G42" s="18">
        <f t="shared" si="3"/>
        <v>24.200000000000003</v>
      </c>
      <c r="H42" s="18">
        <f t="shared" si="4"/>
        <v>24.200000000000003</v>
      </c>
      <c r="I42" s="18">
        <f t="shared" si="5"/>
        <v>0</v>
      </c>
      <c r="J42" s="15" t="s">
        <v>69</v>
      </c>
    </row>
    <row r="43" spans="1:10" x14ac:dyDescent="0.3">
      <c r="A43" s="15">
        <v>2</v>
      </c>
      <c r="B43" s="15" t="s">
        <v>89</v>
      </c>
      <c r="C43" s="15">
        <v>17</v>
      </c>
      <c r="D43" s="15" t="s">
        <v>82</v>
      </c>
      <c r="E43" s="16">
        <v>93.2</v>
      </c>
      <c r="F43" s="19">
        <v>41.6</v>
      </c>
      <c r="G43" s="18">
        <f t="shared" si="3"/>
        <v>51.6</v>
      </c>
      <c r="H43" s="18">
        <f t="shared" si="4"/>
        <v>51.6</v>
      </c>
      <c r="I43" s="18">
        <f t="shared" si="5"/>
        <v>0</v>
      </c>
      <c r="J43" s="15" t="s">
        <v>69</v>
      </c>
    </row>
    <row r="44" spans="1:10" x14ac:dyDescent="0.3">
      <c r="A44" s="15">
        <v>2</v>
      </c>
      <c r="B44" s="15" t="s">
        <v>89</v>
      </c>
      <c r="C44" s="15">
        <v>18</v>
      </c>
      <c r="D44" s="15" t="s">
        <v>83</v>
      </c>
      <c r="E44" s="16">
        <v>73.2</v>
      </c>
      <c r="F44" s="19">
        <v>24.1</v>
      </c>
      <c r="G44" s="18">
        <f t="shared" si="3"/>
        <v>49.1</v>
      </c>
      <c r="H44" s="18">
        <f t="shared" si="4"/>
        <v>49.1</v>
      </c>
      <c r="I44" s="18">
        <f t="shared" si="5"/>
        <v>0</v>
      </c>
      <c r="J44" s="15" t="s">
        <v>69</v>
      </c>
    </row>
    <row r="45" spans="1:10" x14ac:dyDescent="0.3">
      <c r="A45" s="15">
        <v>2</v>
      </c>
      <c r="B45" s="15" t="s">
        <v>89</v>
      </c>
      <c r="C45" s="15">
        <v>19</v>
      </c>
      <c r="D45" s="15" t="s">
        <v>84</v>
      </c>
      <c r="E45" s="16">
        <v>70.599999999999994</v>
      </c>
      <c r="F45" s="17">
        <v>0</v>
      </c>
      <c r="G45" s="18">
        <f t="shared" si="3"/>
        <v>70.599999999999994</v>
      </c>
      <c r="H45" s="18">
        <f t="shared" si="4"/>
        <v>70.599999999999994</v>
      </c>
      <c r="I45" s="18">
        <f t="shared" si="5"/>
        <v>0</v>
      </c>
      <c r="J45" s="15" t="s">
        <v>69</v>
      </c>
    </row>
    <row r="46" spans="1:10" x14ac:dyDescent="0.3">
      <c r="A46" s="15">
        <v>2</v>
      </c>
      <c r="B46" s="15" t="s">
        <v>89</v>
      </c>
      <c r="C46" s="15">
        <v>20</v>
      </c>
      <c r="D46" s="15" t="s">
        <v>85</v>
      </c>
      <c r="E46" s="16">
        <v>51.3</v>
      </c>
      <c r="F46" s="17">
        <v>0</v>
      </c>
      <c r="G46" s="18">
        <f t="shared" si="3"/>
        <v>51.3</v>
      </c>
      <c r="H46" s="18">
        <f t="shared" si="4"/>
        <v>51.3</v>
      </c>
      <c r="I46" s="18">
        <f t="shared" si="5"/>
        <v>0</v>
      </c>
      <c r="J46" s="15" t="s">
        <v>69</v>
      </c>
    </row>
    <row r="47" spans="1:10" x14ac:dyDescent="0.3">
      <c r="A47" s="15">
        <v>2</v>
      </c>
      <c r="B47" s="15" t="s">
        <v>89</v>
      </c>
      <c r="C47" s="15">
        <v>21</v>
      </c>
      <c r="D47" s="15" t="s">
        <v>86</v>
      </c>
      <c r="E47" s="16">
        <v>55.7</v>
      </c>
      <c r="F47" s="17">
        <v>0</v>
      </c>
      <c r="G47" s="18">
        <f t="shared" si="3"/>
        <v>55.7</v>
      </c>
      <c r="H47" s="18">
        <f t="shared" si="4"/>
        <v>55.7</v>
      </c>
      <c r="I47" s="18">
        <f t="shared" si="5"/>
        <v>0</v>
      </c>
      <c r="J47" s="15" t="s">
        <v>69</v>
      </c>
    </row>
    <row r="48" spans="1:10" x14ac:dyDescent="0.3">
      <c r="A48" s="15">
        <v>2</v>
      </c>
      <c r="B48" s="15" t="s">
        <v>89</v>
      </c>
      <c r="C48" s="15">
        <v>22</v>
      </c>
      <c r="D48" s="15" t="s">
        <v>87</v>
      </c>
      <c r="E48" s="16">
        <v>43.3</v>
      </c>
      <c r="F48" s="17">
        <v>0</v>
      </c>
      <c r="G48" s="18">
        <f t="shared" si="3"/>
        <v>43.3</v>
      </c>
      <c r="H48" s="18">
        <f t="shared" si="4"/>
        <v>43.3</v>
      </c>
      <c r="I48" s="18">
        <f t="shared" si="5"/>
        <v>0</v>
      </c>
      <c r="J48" s="15" t="s">
        <v>62</v>
      </c>
    </row>
    <row r="49" spans="1:10" x14ac:dyDescent="0.3">
      <c r="A49" s="15">
        <v>2</v>
      </c>
      <c r="B49" s="15" t="s">
        <v>89</v>
      </c>
      <c r="C49" s="15">
        <v>23</v>
      </c>
      <c r="D49" s="15" t="s">
        <v>88</v>
      </c>
      <c r="E49" s="16">
        <v>39.9</v>
      </c>
      <c r="F49" s="17">
        <v>0</v>
      </c>
      <c r="G49" s="18">
        <f t="shared" si="3"/>
        <v>39.9</v>
      </c>
      <c r="H49" s="18">
        <f t="shared" si="4"/>
        <v>39.9</v>
      </c>
      <c r="I49" s="18">
        <f t="shared" si="5"/>
        <v>0</v>
      </c>
      <c r="J49" s="15" t="s">
        <v>62</v>
      </c>
    </row>
    <row r="50" spans="1:10" x14ac:dyDescent="0.3">
      <c r="A50" s="15">
        <v>3</v>
      </c>
      <c r="B50" s="15" t="s">
        <v>90</v>
      </c>
      <c r="C50" s="15">
        <v>0</v>
      </c>
      <c r="D50" s="15" t="s">
        <v>61</v>
      </c>
      <c r="E50" s="16">
        <v>41.9</v>
      </c>
      <c r="F50" s="17">
        <v>0</v>
      </c>
      <c r="G50" s="18">
        <f t="shared" si="3"/>
        <v>41.9</v>
      </c>
      <c r="H50" s="18">
        <f t="shared" si="4"/>
        <v>41.9</v>
      </c>
      <c r="I50" s="18">
        <f t="shared" si="5"/>
        <v>0</v>
      </c>
      <c r="J50" s="15" t="s">
        <v>62</v>
      </c>
    </row>
    <row r="51" spans="1:10" x14ac:dyDescent="0.3">
      <c r="A51" s="15">
        <v>3</v>
      </c>
      <c r="B51" s="15" t="s">
        <v>90</v>
      </c>
      <c r="C51" s="15">
        <v>1</v>
      </c>
      <c r="D51" s="15" t="s">
        <v>63</v>
      </c>
      <c r="E51" s="16">
        <v>40.4</v>
      </c>
      <c r="F51" s="17">
        <v>0</v>
      </c>
      <c r="G51" s="18">
        <f t="shared" si="3"/>
        <v>40.4</v>
      </c>
      <c r="H51" s="18">
        <f t="shared" si="4"/>
        <v>40.4</v>
      </c>
      <c r="I51" s="18">
        <f t="shared" si="5"/>
        <v>0</v>
      </c>
      <c r="J51" s="15" t="s">
        <v>62</v>
      </c>
    </row>
    <row r="52" spans="1:10" x14ac:dyDescent="0.3">
      <c r="A52" s="15">
        <v>3</v>
      </c>
      <c r="B52" s="15" t="s">
        <v>90</v>
      </c>
      <c r="C52" s="15">
        <v>2</v>
      </c>
      <c r="D52" s="15" t="s">
        <v>64</v>
      </c>
      <c r="E52" s="16">
        <v>43.5</v>
      </c>
      <c r="F52" s="17">
        <v>0</v>
      </c>
      <c r="G52" s="18">
        <f t="shared" si="3"/>
        <v>43.5</v>
      </c>
      <c r="H52" s="18">
        <f t="shared" si="4"/>
        <v>43.5</v>
      </c>
      <c r="I52" s="18">
        <f t="shared" si="5"/>
        <v>0</v>
      </c>
      <c r="J52" s="15" t="s">
        <v>62</v>
      </c>
    </row>
    <row r="53" spans="1:10" x14ac:dyDescent="0.3">
      <c r="A53" s="15">
        <v>3</v>
      </c>
      <c r="B53" s="15" t="s">
        <v>90</v>
      </c>
      <c r="C53" s="15">
        <v>3</v>
      </c>
      <c r="D53" s="15" t="s">
        <v>65</v>
      </c>
      <c r="E53" s="16">
        <v>40.799999999999997</v>
      </c>
      <c r="F53" s="17">
        <v>0</v>
      </c>
      <c r="G53" s="18">
        <f t="shared" si="3"/>
        <v>40.799999999999997</v>
      </c>
      <c r="H53" s="18">
        <f t="shared" si="4"/>
        <v>40.799999999999997</v>
      </c>
      <c r="I53" s="18">
        <f t="shared" si="5"/>
        <v>0</v>
      </c>
      <c r="J53" s="15" t="s">
        <v>62</v>
      </c>
    </row>
    <row r="54" spans="1:10" x14ac:dyDescent="0.3">
      <c r="A54" s="15">
        <v>3</v>
      </c>
      <c r="B54" s="15" t="s">
        <v>90</v>
      </c>
      <c r="C54" s="15">
        <v>4</v>
      </c>
      <c r="D54" s="15" t="s">
        <v>66</v>
      </c>
      <c r="E54" s="16">
        <v>39.6</v>
      </c>
      <c r="F54" s="17">
        <v>0</v>
      </c>
      <c r="G54" s="18">
        <f t="shared" si="3"/>
        <v>39.6</v>
      </c>
      <c r="H54" s="18">
        <f t="shared" si="4"/>
        <v>39.6</v>
      </c>
      <c r="I54" s="18">
        <f t="shared" si="5"/>
        <v>0</v>
      </c>
      <c r="J54" s="15" t="s">
        <v>62</v>
      </c>
    </row>
    <row r="55" spans="1:10" x14ac:dyDescent="0.3">
      <c r="A55" s="15">
        <v>3</v>
      </c>
      <c r="B55" s="15" t="s">
        <v>90</v>
      </c>
      <c r="C55" s="15">
        <v>5</v>
      </c>
      <c r="D55" s="15" t="s">
        <v>67</v>
      </c>
      <c r="E55" s="16">
        <v>56.5</v>
      </c>
      <c r="F55" s="17">
        <v>0</v>
      </c>
      <c r="G55" s="18">
        <f t="shared" si="3"/>
        <v>56.5</v>
      </c>
      <c r="H55" s="18">
        <f t="shared" si="4"/>
        <v>56.5</v>
      </c>
      <c r="I55" s="18">
        <f t="shared" si="5"/>
        <v>0</v>
      </c>
      <c r="J55" s="15" t="s">
        <v>62</v>
      </c>
    </row>
    <row r="56" spans="1:10" x14ac:dyDescent="0.3">
      <c r="A56" s="15">
        <v>3</v>
      </c>
      <c r="B56" s="15" t="s">
        <v>90</v>
      </c>
      <c r="C56" s="15">
        <v>6</v>
      </c>
      <c r="D56" s="15" t="s">
        <v>68</v>
      </c>
      <c r="E56" s="16">
        <v>70.400000000000006</v>
      </c>
      <c r="F56" s="19">
        <v>17.5</v>
      </c>
      <c r="G56" s="18">
        <f t="shared" si="3"/>
        <v>52.900000000000006</v>
      </c>
      <c r="H56" s="18">
        <f t="shared" si="4"/>
        <v>52.900000000000006</v>
      </c>
      <c r="I56" s="18">
        <f t="shared" si="5"/>
        <v>0</v>
      </c>
      <c r="J56" s="15" t="s">
        <v>69</v>
      </c>
    </row>
    <row r="57" spans="1:10" x14ac:dyDescent="0.3">
      <c r="A57" s="15">
        <v>3</v>
      </c>
      <c r="B57" s="15" t="s">
        <v>90</v>
      </c>
      <c r="C57" s="15">
        <v>7</v>
      </c>
      <c r="D57" s="15" t="s">
        <v>70</v>
      </c>
      <c r="E57" s="16">
        <v>86.5</v>
      </c>
      <c r="F57" s="19">
        <v>36.299999999999997</v>
      </c>
      <c r="G57" s="18">
        <f t="shared" si="3"/>
        <v>50.2</v>
      </c>
      <c r="H57" s="18">
        <f t="shared" si="4"/>
        <v>50.2</v>
      </c>
      <c r="I57" s="18">
        <f t="shared" si="5"/>
        <v>0</v>
      </c>
      <c r="J57" s="15" t="s">
        <v>69</v>
      </c>
    </row>
    <row r="58" spans="1:10" x14ac:dyDescent="0.3">
      <c r="A58" s="15">
        <v>3</v>
      </c>
      <c r="B58" s="15" t="s">
        <v>90</v>
      </c>
      <c r="C58" s="15">
        <v>8</v>
      </c>
      <c r="D58" s="15" t="s">
        <v>71</v>
      </c>
      <c r="E58" s="16">
        <v>90.1</v>
      </c>
      <c r="F58" s="19">
        <v>49.2</v>
      </c>
      <c r="G58" s="18">
        <f t="shared" si="3"/>
        <v>40.899999999999991</v>
      </c>
      <c r="H58" s="18">
        <f t="shared" si="4"/>
        <v>40.899999999999991</v>
      </c>
      <c r="I58" s="18">
        <f t="shared" si="5"/>
        <v>0</v>
      </c>
      <c r="J58" s="15" t="s">
        <v>69</v>
      </c>
    </row>
    <row r="59" spans="1:10" x14ac:dyDescent="0.3">
      <c r="A59" s="15">
        <v>3</v>
      </c>
      <c r="B59" s="15" t="s">
        <v>90</v>
      </c>
      <c r="C59" s="15">
        <v>9</v>
      </c>
      <c r="D59" s="15" t="s">
        <v>72</v>
      </c>
      <c r="E59" s="16">
        <v>96.6</v>
      </c>
      <c r="F59" s="19">
        <v>72.5</v>
      </c>
      <c r="G59" s="18">
        <f t="shared" si="3"/>
        <v>24.099999999999994</v>
      </c>
      <c r="H59" s="18">
        <f t="shared" si="4"/>
        <v>24.099999999999994</v>
      </c>
      <c r="I59" s="18">
        <f t="shared" si="5"/>
        <v>0</v>
      </c>
      <c r="J59" s="15" t="s">
        <v>69</v>
      </c>
    </row>
    <row r="60" spans="1:10" x14ac:dyDescent="0.3">
      <c r="A60" s="15">
        <v>3</v>
      </c>
      <c r="B60" s="15" t="s">
        <v>90</v>
      </c>
      <c r="C60" s="15">
        <v>10</v>
      </c>
      <c r="D60" s="15" t="s">
        <v>73</v>
      </c>
      <c r="E60" s="16">
        <v>91.2</v>
      </c>
      <c r="F60" s="19">
        <v>88.8</v>
      </c>
      <c r="G60" s="18">
        <f t="shared" si="3"/>
        <v>2.4000000000000057</v>
      </c>
      <c r="H60" s="18">
        <f t="shared" si="4"/>
        <v>2.4000000000000057</v>
      </c>
      <c r="I60" s="18">
        <f t="shared" si="5"/>
        <v>0</v>
      </c>
      <c r="J60" s="15" t="s">
        <v>69</v>
      </c>
    </row>
    <row r="61" spans="1:10" x14ac:dyDescent="0.3">
      <c r="A61" s="15">
        <v>3</v>
      </c>
      <c r="B61" s="15" t="s">
        <v>90</v>
      </c>
      <c r="C61" s="15">
        <v>11</v>
      </c>
      <c r="D61" s="15" t="s">
        <v>75</v>
      </c>
      <c r="E61" s="16">
        <v>88.4</v>
      </c>
      <c r="F61" s="19">
        <v>108</v>
      </c>
      <c r="G61" s="18">
        <f t="shared" si="3"/>
        <v>-19.599999999999994</v>
      </c>
      <c r="H61" s="18">
        <f t="shared" si="4"/>
        <v>0</v>
      </c>
      <c r="I61" s="18">
        <f t="shared" si="5"/>
        <v>19.599999999999994</v>
      </c>
      <c r="J61" s="15" t="s">
        <v>74</v>
      </c>
    </row>
    <row r="62" spans="1:10" x14ac:dyDescent="0.3">
      <c r="A62" s="15">
        <v>3</v>
      </c>
      <c r="B62" s="15" t="s">
        <v>90</v>
      </c>
      <c r="C62" s="15">
        <v>12</v>
      </c>
      <c r="D62" s="15" t="s">
        <v>76</v>
      </c>
      <c r="E62" s="16">
        <v>77.8</v>
      </c>
      <c r="F62" s="19">
        <v>111.7</v>
      </c>
      <c r="G62" s="18">
        <f t="shared" si="3"/>
        <v>-33.900000000000006</v>
      </c>
      <c r="H62" s="18">
        <f t="shared" si="4"/>
        <v>0</v>
      </c>
      <c r="I62" s="18">
        <f t="shared" si="5"/>
        <v>33.900000000000006</v>
      </c>
      <c r="J62" s="15" t="s">
        <v>77</v>
      </c>
    </row>
    <row r="63" spans="1:10" x14ac:dyDescent="0.3">
      <c r="A63" s="15">
        <v>3</v>
      </c>
      <c r="B63" s="15" t="s">
        <v>90</v>
      </c>
      <c r="C63" s="15">
        <v>13</v>
      </c>
      <c r="D63" s="15" t="s">
        <v>78</v>
      </c>
      <c r="E63" s="16">
        <v>85.4</v>
      </c>
      <c r="F63" s="19">
        <v>106</v>
      </c>
      <c r="G63" s="18">
        <f t="shared" si="3"/>
        <v>-20.599999999999994</v>
      </c>
      <c r="H63" s="18">
        <f t="shared" si="4"/>
        <v>0</v>
      </c>
      <c r="I63" s="18">
        <f t="shared" si="5"/>
        <v>20.599999999999994</v>
      </c>
      <c r="J63" s="15" t="s">
        <v>74</v>
      </c>
    </row>
    <row r="64" spans="1:10" x14ac:dyDescent="0.3">
      <c r="A64" s="15">
        <v>3</v>
      </c>
      <c r="B64" s="15" t="s">
        <v>90</v>
      </c>
      <c r="C64" s="15">
        <v>14</v>
      </c>
      <c r="D64" s="15" t="s">
        <v>79</v>
      </c>
      <c r="E64" s="16">
        <v>94.5</v>
      </c>
      <c r="F64" s="19">
        <v>92.6</v>
      </c>
      <c r="G64" s="18">
        <f t="shared" si="3"/>
        <v>1.9000000000000057</v>
      </c>
      <c r="H64" s="18">
        <f t="shared" si="4"/>
        <v>1.9000000000000057</v>
      </c>
      <c r="I64" s="18">
        <f t="shared" si="5"/>
        <v>0</v>
      </c>
      <c r="J64" s="15" t="s">
        <v>69</v>
      </c>
    </row>
    <row r="65" spans="1:10" x14ac:dyDescent="0.3">
      <c r="A65" s="15">
        <v>3</v>
      </c>
      <c r="B65" s="15" t="s">
        <v>90</v>
      </c>
      <c r="C65" s="15">
        <v>15</v>
      </c>
      <c r="D65" s="15" t="s">
        <v>80</v>
      </c>
      <c r="E65" s="16">
        <v>96.5</v>
      </c>
      <c r="F65" s="19">
        <v>75.3</v>
      </c>
      <c r="G65" s="18">
        <f t="shared" si="3"/>
        <v>21.200000000000003</v>
      </c>
      <c r="H65" s="18">
        <f t="shared" si="4"/>
        <v>21.200000000000003</v>
      </c>
      <c r="I65" s="18">
        <f t="shared" si="5"/>
        <v>0</v>
      </c>
      <c r="J65" s="15" t="s">
        <v>69</v>
      </c>
    </row>
    <row r="66" spans="1:10" x14ac:dyDescent="0.3">
      <c r="A66" s="15">
        <v>3</v>
      </c>
      <c r="B66" s="15" t="s">
        <v>90</v>
      </c>
      <c r="C66" s="15">
        <v>16</v>
      </c>
      <c r="D66" s="15" t="s">
        <v>81</v>
      </c>
      <c r="E66" s="16">
        <v>90.8</v>
      </c>
      <c r="F66" s="19">
        <v>53.2</v>
      </c>
      <c r="G66" s="18">
        <f t="shared" ref="G66:G97" si="6">E66-F66</f>
        <v>37.599999999999994</v>
      </c>
      <c r="H66" s="18">
        <f t="shared" ref="H66:H97" si="7">MAX(G66,0)</f>
        <v>37.599999999999994</v>
      </c>
      <c r="I66" s="18">
        <f t="shared" ref="I66:I97" si="8">MAX(-G66,0)</f>
        <v>0</v>
      </c>
      <c r="J66" s="15" t="s">
        <v>69</v>
      </c>
    </row>
    <row r="67" spans="1:10" x14ac:dyDescent="0.3">
      <c r="A67" s="15">
        <v>3</v>
      </c>
      <c r="B67" s="15" t="s">
        <v>90</v>
      </c>
      <c r="C67" s="15">
        <v>17</v>
      </c>
      <c r="D67" s="15" t="s">
        <v>82</v>
      </c>
      <c r="E67" s="16">
        <v>92.6</v>
      </c>
      <c r="F67" s="19">
        <v>33.4</v>
      </c>
      <c r="G67" s="18">
        <f t="shared" si="6"/>
        <v>59.199999999999996</v>
      </c>
      <c r="H67" s="18">
        <f t="shared" si="7"/>
        <v>59.199999999999996</v>
      </c>
      <c r="I67" s="18">
        <f t="shared" si="8"/>
        <v>0</v>
      </c>
      <c r="J67" s="15" t="s">
        <v>69</v>
      </c>
    </row>
    <row r="68" spans="1:10" x14ac:dyDescent="0.3">
      <c r="A68" s="15">
        <v>3</v>
      </c>
      <c r="B68" s="15" t="s">
        <v>90</v>
      </c>
      <c r="C68" s="15">
        <v>18</v>
      </c>
      <c r="D68" s="15" t="s">
        <v>83</v>
      </c>
      <c r="E68" s="16">
        <v>74.599999999999994</v>
      </c>
      <c r="F68" s="19">
        <v>20.5</v>
      </c>
      <c r="G68" s="18">
        <f t="shared" si="6"/>
        <v>54.099999999999994</v>
      </c>
      <c r="H68" s="18">
        <f t="shared" si="7"/>
        <v>54.099999999999994</v>
      </c>
      <c r="I68" s="18">
        <f t="shared" si="8"/>
        <v>0</v>
      </c>
      <c r="J68" s="15" t="s">
        <v>69</v>
      </c>
    </row>
    <row r="69" spans="1:10" x14ac:dyDescent="0.3">
      <c r="A69" s="15">
        <v>3</v>
      </c>
      <c r="B69" s="15" t="s">
        <v>90</v>
      </c>
      <c r="C69" s="15">
        <v>19</v>
      </c>
      <c r="D69" s="15" t="s">
        <v>84</v>
      </c>
      <c r="E69" s="16">
        <v>69.7</v>
      </c>
      <c r="F69" s="17">
        <v>0</v>
      </c>
      <c r="G69" s="18">
        <f t="shared" si="6"/>
        <v>69.7</v>
      </c>
      <c r="H69" s="18">
        <f t="shared" si="7"/>
        <v>69.7</v>
      </c>
      <c r="I69" s="18">
        <f t="shared" si="8"/>
        <v>0</v>
      </c>
      <c r="J69" s="15" t="s">
        <v>69</v>
      </c>
    </row>
    <row r="70" spans="1:10" x14ac:dyDescent="0.3">
      <c r="A70" s="15">
        <v>3</v>
      </c>
      <c r="B70" s="15" t="s">
        <v>90</v>
      </c>
      <c r="C70" s="15">
        <v>20</v>
      </c>
      <c r="D70" s="15" t="s">
        <v>85</v>
      </c>
      <c r="E70" s="16">
        <v>52.6</v>
      </c>
      <c r="F70" s="17">
        <v>0</v>
      </c>
      <c r="G70" s="18">
        <f t="shared" si="6"/>
        <v>52.6</v>
      </c>
      <c r="H70" s="18">
        <f t="shared" si="7"/>
        <v>52.6</v>
      </c>
      <c r="I70" s="18">
        <f t="shared" si="8"/>
        <v>0</v>
      </c>
      <c r="J70" s="15" t="s">
        <v>69</v>
      </c>
    </row>
    <row r="71" spans="1:10" x14ac:dyDescent="0.3">
      <c r="A71" s="15">
        <v>3</v>
      </c>
      <c r="B71" s="15" t="s">
        <v>90</v>
      </c>
      <c r="C71" s="15">
        <v>21</v>
      </c>
      <c r="D71" s="15" t="s">
        <v>86</v>
      </c>
      <c r="E71" s="16">
        <v>52.7</v>
      </c>
      <c r="F71" s="17">
        <v>0</v>
      </c>
      <c r="G71" s="18">
        <f t="shared" si="6"/>
        <v>52.7</v>
      </c>
      <c r="H71" s="18">
        <f t="shared" si="7"/>
        <v>52.7</v>
      </c>
      <c r="I71" s="18">
        <f t="shared" si="8"/>
        <v>0</v>
      </c>
      <c r="J71" s="15" t="s">
        <v>69</v>
      </c>
    </row>
    <row r="72" spans="1:10" x14ac:dyDescent="0.3">
      <c r="A72" s="15">
        <v>3</v>
      </c>
      <c r="B72" s="15" t="s">
        <v>90</v>
      </c>
      <c r="C72" s="15">
        <v>22</v>
      </c>
      <c r="D72" s="15" t="s">
        <v>87</v>
      </c>
      <c r="E72" s="16">
        <v>43.7</v>
      </c>
      <c r="F72" s="17">
        <v>0</v>
      </c>
      <c r="G72" s="18">
        <f t="shared" si="6"/>
        <v>43.7</v>
      </c>
      <c r="H72" s="18">
        <f t="shared" si="7"/>
        <v>43.7</v>
      </c>
      <c r="I72" s="18">
        <f t="shared" si="8"/>
        <v>0</v>
      </c>
      <c r="J72" s="15" t="s">
        <v>62</v>
      </c>
    </row>
    <row r="73" spans="1:10" x14ac:dyDescent="0.3">
      <c r="A73" s="15">
        <v>3</v>
      </c>
      <c r="B73" s="15" t="s">
        <v>90</v>
      </c>
      <c r="C73" s="15">
        <v>23</v>
      </c>
      <c r="D73" s="15" t="s">
        <v>88</v>
      </c>
      <c r="E73" s="16">
        <v>43.3</v>
      </c>
      <c r="F73" s="17">
        <v>0</v>
      </c>
      <c r="G73" s="18">
        <f t="shared" si="6"/>
        <v>43.3</v>
      </c>
      <c r="H73" s="18">
        <f t="shared" si="7"/>
        <v>43.3</v>
      </c>
      <c r="I73" s="18">
        <f t="shared" si="8"/>
        <v>0</v>
      </c>
      <c r="J73" s="15" t="s">
        <v>62</v>
      </c>
    </row>
    <row r="74" spans="1:10" x14ac:dyDescent="0.3">
      <c r="A74" s="15">
        <v>4</v>
      </c>
      <c r="B74" s="15" t="s">
        <v>91</v>
      </c>
      <c r="C74" s="15">
        <v>0</v>
      </c>
      <c r="D74" s="15" t="s">
        <v>61</v>
      </c>
      <c r="E74" s="16">
        <v>39.6</v>
      </c>
      <c r="F74" s="17">
        <v>0</v>
      </c>
      <c r="G74" s="18">
        <f t="shared" si="6"/>
        <v>39.6</v>
      </c>
      <c r="H74" s="18">
        <f t="shared" si="7"/>
        <v>39.6</v>
      </c>
      <c r="I74" s="18">
        <f t="shared" si="8"/>
        <v>0</v>
      </c>
      <c r="J74" s="15" t="s">
        <v>62</v>
      </c>
    </row>
    <row r="75" spans="1:10" x14ac:dyDescent="0.3">
      <c r="A75" s="15">
        <v>4</v>
      </c>
      <c r="B75" s="15" t="s">
        <v>91</v>
      </c>
      <c r="C75" s="15">
        <v>1</v>
      </c>
      <c r="D75" s="15" t="s">
        <v>63</v>
      </c>
      <c r="E75" s="16">
        <v>41</v>
      </c>
      <c r="F75" s="17">
        <v>0</v>
      </c>
      <c r="G75" s="18">
        <f t="shared" si="6"/>
        <v>41</v>
      </c>
      <c r="H75" s="18">
        <f t="shared" si="7"/>
        <v>41</v>
      </c>
      <c r="I75" s="18">
        <f t="shared" si="8"/>
        <v>0</v>
      </c>
      <c r="J75" s="15" t="s">
        <v>62</v>
      </c>
    </row>
    <row r="76" spans="1:10" x14ac:dyDescent="0.3">
      <c r="A76" s="15">
        <v>4</v>
      </c>
      <c r="B76" s="15" t="s">
        <v>91</v>
      </c>
      <c r="C76" s="15">
        <v>2</v>
      </c>
      <c r="D76" s="15" t="s">
        <v>64</v>
      </c>
      <c r="E76" s="16">
        <v>39.1</v>
      </c>
      <c r="F76" s="17">
        <v>0</v>
      </c>
      <c r="G76" s="18">
        <f t="shared" si="6"/>
        <v>39.1</v>
      </c>
      <c r="H76" s="18">
        <f t="shared" si="7"/>
        <v>39.1</v>
      </c>
      <c r="I76" s="18">
        <f t="shared" si="8"/>
        <v>0</v>
      </c>
      <c r="J76" s="15" t="s">
        <v>62</v>
      </c>
    </row>
    <row r="77" spans="1:10" x14ac:dyDescent="0.3">
      <c r="A77" s="15">
        <v>4</v>
      </c>
      <c r="B77" s="15" t="s">
        <v>91</v>
      </c>
      <c r="C77" s="15">
        <v>3</v>
      </c>
      <c r="D77" s="15" t="s">
        <v>65</v>
      </c>
      <c r="E77" s="16">
        <v>43.5</v>
      </c>
      <c r="F77" s="17">
        <v>0</v>
      </c>
      <c r="G77" s="18">
        <f t="shared" si="6"/>
        <v>43.5</v>
      </c>
      <c r="H77" s="18">
        <f t="shared" si="7"/>
        <v>43.5</v>
      </c>
      <c r="I77" s="18">
        <f t="shared" si="8"/>
        <v>0</v>
      </c>
      <c r="J77" s="15" t="s">
        <v>62</v>
      </c>
    </row>
    <row r="78" spans="1:10" x14ac:dyDescent="0.3">
      <c r="A78" s="15">
        <v>4</v>
      </c>
      <c r="B78" s="15" t="s">
        <v>91</v>
      </c>
      <c r="C78" s="15">
        <v>4</v>
      </c>
      <c r="D78" s="15" t="s">
        <v>66</v>
      </c>
      <c r="E78" s="16">
        <v>43.2</v>
      </c>
      <c r="F78" s="17">
        <v>0</v>
      </c>
      <c r="G78" s="18">
        <f t="shared" si="6"/>
        <v>43.2</v>
      </c>
      <c r="H78" s="18">
        <f t="shared" si="7"/>
        <v>43.2</v>
      </c>
      <c r="I78" s="18">
        <f t="shared" si="8"/>
        <v>0</v>
      </c>
      <c r="J78" s="15" t="s">
        <v>62</v>
      </c>
    </row>
    <row r="79" spans="1:10" x14ac:dyDescent="0.3">
      <c r="A79" s="15">
        <v>4</v>
      </c>
      <c r="B79" s="15" t="s">
        <v>91</v>
      </c>
      <c r="C79" s="15">
        <v>5</v>
      </c>
      <c r="D79" s="15" t="s">
        <v>67</v>
      </c>
      <c r="E79" s="16">
        <v>56.8</v>
      </c>
      <c r="F79" s="17">
        <v>0</v>
      </c>
      <c r="G79" s="18">
        <f t="shared" si="6"/>
        <v>56.8</v>
      </c>
      <c r="H79" s="18">
        <f t="shared" si="7"/>
        <v>56.8</v>
      </c>
      <c r="I79" s="18">
        <f t="shared" si="8"/>
        <v>0</v>
      </c>
      <c r="J79" s="15" t="s">
        <v>62</v>
      </c>
    </row>
    <row r="80" spans="1:10" x14ac:dyDescent="0.3">
      <c r="A80" s="15">
        <v>4</v>
      </c>
      <c r="B80" s="15" t="s">
        <v>91</v>
      </c>
      <c r="C80" s="15">
        <v>6</v>
      </c>
      <c r="D80" s="15" t="s">
        <v>68</v>
      </c>
      <c r="E80" s="16">
        <v>70.8</v>
      </c>
      <c r="F80" s="19">
        <v>25.1</v>
      </c>
      <c r="G80" s="18">
        <f t="shared" si="6"/>
        <v>45.699999999999996</v>
      </c>
      <c r="H80" s="18">
        <f t="shared" si="7"/>
        <v>45.699999999999996</v>
      </c>
      <c r="I80" s="18">
        <f t="shared" si="8"/>
        <v>0</v>
      </c>
      <c r="J80" s="15" t="s">
        <v>69</v>
      </c>
    </row>
    <row r="81" spans="1:10" x14ac:dyDescent="0.3">
      <c r="A81" s="15">
        <v>4</v>
      </c>
      <c r="B81" s="15" t="s">
        <v>91</v>
      </c>
      <c r="C81" s="15">
        <v>7</v>
      </c>
      <c r="D81" s="15" t="s">
        <v>70</v>
      </c>
      <c r="E81" s="16">
        <v>83.9</v>
      </c>
      <c r="F81" s="19">
        <v>43.5</v>
      </c>
      <c r="G81" s="18">
        <f t="shared" si="6"/>
        <v>40.400000000000006</v>
      </c>
      <c r="H81" s="18">
        <f t="shared" si="7"/>
        <v>40.400000000000006</v>
      </c>
      <c r="I81" s="18">
        <f t="shared" si="8"/>
        <v>0</v>
      </c>
      <c r="J81" s="15" t="s">
        <v>69</v>
      </c>
    </row>
    <row r="82" spans="1:10" x14ac:dyDescent="0.3">
      <c r="A82" s="15">
        <v>4</v>
      </c>
      <c r="B82" s="15" t="s">
        <v>91</v>
      </c>
      <c r="C82" s="15">
        <v>8</v>
      </c>
      <c r="D82" s="15" t="s">
        <v>71</v>
      </c>
      <c r="E82" s="16">
        <v>90.9</v>
      </c>
      <c r="F82" s="19">
        <v>66.5</v>
      </c>
      <c r="G82" s="18">
        <f t="shared" si="6"/>
        <v>24.400000000000006</v>
      </c>
      <c r="H82" s="18">
        <f t="shared" si="7"/>
        <v>24.400000000000006</v>
      </c>
      <c r="I82" s="18">
        <f t="shared" si="8"/>
        <v>0</v>
      </c>
      <c r="J82" s="15" t="s">
        <v>69</v>
      </c>
    </row>
    <row r="83" spans="1:10" x14ac:dyDescent="0.3">
      <c r="A83" s="15">
        <v>4</v>
      </c>
      <c r="B83" s="15" t="s">
        <v>91</v>
      </c>
      <c r="C83" s="15">
        <v>9</v>
      </c>
      <c r="D83" s="15" t="s">
        <v>72</v>
      </c>
      <c r="E83" s="16">
        <v>93.8</v>
      </c>
      <c r="F83" s="19">
        <v>86.5</v>
      </c>
      <c r="G83" s="18">
        <f t="shared" si="6"/>
        <v>7.2999999999999972</v>
      </c>
      <c r="H83" s="18">
        <f t="shared" si="7"/>
        <v>7.2999999999999972</v>
      </c>
      <c r="I83" s="18">
        <f t="shared" si="8"/>
        <v>0</v>
      </c>
      <c r="J83" s="15" t="s">
        <v>69</v>
      </c>
    </row>
    <row r="84" spans="1:10" x14ac:dyDescent="0.3">
      <c r="A84" s="15">
        <v>4</v>
      </c>
      <c r="B84" s="15" t="s">
        <v>91</v>
      </c>
      <c r="C84" s="15">
        <v>10</v>
      </c>
      <c r="D84" s="15" t="s">
        <v>73</v>
      </c>
      <c r="E84" s="16">
        <v>92.6</v>
      </c>
      <c r="F84" s="19">
        <v>111.6</v>
      </c>
      <c r="G84" s="18">
        <f t="shared" si="6"/>
        <v>-19</v>
      </c>
      <c r="H84" s="18">
        <f t="shared" si="7"/>
        <v>0</v>
      </c>
      <c r="I84" s="18">
        <f t="shared" si="8"/>
        <v>19</v>
      </c>
      <c r="J84" s="15" t="s">
        <v>74</v>
      </c>
    </row>
    <row r="85" spans="1:10" x14ac:dyDescent="0.3">
      <c r="A85" s="15">
        <v>4</v>
      </c>
      <c r="B85" s="15" t="s">
        <v>91</v>
      </c>
      <c r="C85" s="15">
        <v>11</v>
      </c>
      <c r="D85" s="15" t="s">
        <v>75</v>
      </c>
      <c r="E85" s="16">
        <v>93.3</v>
      </c>
      <c r="F85" s="19">
        <v>136.69999999999999</v>
      </c>
      <c r="G85" s="18">
        <f t="shared" si="6"/>
        <v>-43.399999999999991</v>
      </c>
      <c r="H85" s="18">
        <f t="shared" si="7"/>
        <v>0</v>
      </c>
      <c r="I85" s="18">
        <f t="shared" si="8"/>
        <v>43.399999999999991</v>
      </c>
      <c r="J85" s="15" t="s">
        <v>74</v>
      </c>
    </row>
    <row r="86" spans="1:10" x14ac:dyDescent="0.3">
      <c r="A86" s="15">
        <v>4</v>
      </c>
      <c r="B86" s="15" t="s">
        <v>91</v>
      </c>
      <c r="C86" s="15">
        <v>12</v>
      </c>
      <c r="D86" s="15" t="s">
        <v>76</v>
      </c>
      <c r="E86" s="16">
        <v>78</v>
      </c>
      <c r="F86" s="19">
        <v>138.9</v>
      </c>
      <c r="G86" s="18">
        <f t="shared" si="6"/>
        <v>-60.900000000000006</v>
      </c>
      <c r="H86" s="18">
        <f t="shared" si="7"/>
        <v>0</v>
      </c>
      <c r="I86" s="18">
        <f t="shared" si="8"/>
        <v>60.900000000000006</v>
      </c>
      <c r="J86" s="15" t="s">
        <v>77</v>
      </c>
    </row>
    <row r="87" spans="1:10" x14ac:dyDescent="0.3">
      <c r="A87" s="15">
        <v>4</v>
      </c>
      <c r="B87" s="15" t="s">
        <v>91</v>
      </c>
      <c r="C87" s="15">
        <v>13</v>
      </c>
      <c r="D87" s="15" t="s">
        <v>78</v>
      </c>
      <c r="E87" s="16">
        <v>85.3</v>
      </c>
      <c r="F87" s="19">
        <v>136.69999999999999</v>
      </c>
      <c r="G87" s="18">
        <f t="shared" si="6"/>
        <v>-51.399999999999991</v>
      </c>
      <c r="H87" s="18">
        <f t="shared" si="7"/>
        <v>0</v>
      </c>
      <c r="I87" s="18">
        <f t="shared" si="8"/>
        <v>51.399999999999991</v>
      </c>
      <c r="J87" s="15" t="s">
        <v>74</v>
      </c>
    </row>
    <row r="88" spans="1:10" x14ac:dyDescent="0.3">
      <c r="A88" s="15">
        <v>4</v>
      </c>
      <c r="B88" s="15" t="s">
        <v>91</v>
      </c>
      <c r="C88" s="15">
        <v>14</v>
      </c>
      <c r="D88" s="15" t="s">
        <v>79</v>
      </c>
      <c r="E88" s="16">
        <v>94.2</v>
      </c>
      <c r="F88" s="19">
        <v>112.2</v>
      </c>
      <c r="G88" s="18">
        <f t="shared" si="6"/>
        <v>-18</v>
      </c>
      <c r="H88" s="18">
        <f t="shared" si="7"/>
        <v>0</v>
      </c>
      <c r="I88" s="18">
        <f t="shared" si="8"/>
        <v>18</v>
      </c>
      <c r="J88" s="15" t="s">
        <v>74</v>
      </c>
    </row>
    <row r="89" spans="1:10" x14ac:dyDescent="0.3">
      <c r="A89" s="15">
        <v>4</v>
      </c>
      <c r="B89" s="15" t="s">
        <v>91</v>
      </c>
      <c r="C89" s="15">
        <v>15</v>
      </c>
      <c r="D89" s="15" t="s">
        <v>80</v>
      </c>
      <c r="E89" s="16">
        <v>93.6</v>
      </c>
      <c r="F89" s="19">
        <v>87</v>
      </c>
      <c r="G89" s="18">
        <f t="shared" si="6"/>
        <v>6.5999999999999943</v>
      </c>
      <c r="H89" s="18">
        <f t="shared" si="7"/>
        <v>6.5999999999999943</v>
      </c>
      <c r="I89" s="18">
        <f t="shared" si="8"/>
        <v>0</v>
      </c>
      <c r="J89" s="15" t="s">
        <v>69</v>
      </c>
    </row>
    <row r="90" spans="1:10" x14ac:dyDescent="0.3">
      <c r="A90" s="15">
        <v>4</v>
      </c>
      <c r="B90" s="15" t="s">
        <v>91</v>
      </c>
      <c r="C90" s="15">
        <v>16</v>
      </c>
      <c r="D90" s="15" t="s">
        <v>81</v>
      </c>
      <c r="E90" s="16">
        <v>95.3</v>
      </c>
      <c r="F90" s="19">
        <v>66.400000000000006</v>
      </c>
      <c r="G90" s="18">
        <f t="shared" si="6"/>
        <v>28.899999999999991</v>
      </c>
      <c r="H90" s="18">
        <f t="shared" si="7"/>
        <v>28.899999999999991</v>
      </c>
      <c r="I90" s="18">
        <f t="shared" si="8"/>
        <v>0</v>
      </c>
      <c r="J90" s="15" t="s">
        <v>69</v>
      </c>
    </row>
    <row r="91" spans="1:10" x14ac:dyDescent="0.3">
      <c r="A91" s="15">
        <v>4</v>
      </c>
      <c r="B91" s="15" t="s">
        <v>91</v>
      </c>
      <c r="C91" s="15">
        <v>17</v>
      </c>
      <c r="D91" s="15" t="s">
        <v>82</v>
      </c>
      <c r="E91" s="16">
        <v>89.3</v>
      </c>
      <c r="F91" s="19">
        <v>41.2</v>
      </c>
      <c r="G91" s="18">
        <f t="shared" si="6"/>
        <v>48.099999999999994</v>
      </c>
      <c r="H91" s="18">
        <f t="shared" si="7"/>
        <v>48.099999999999994</v>
      </c>
      <c r="I91" s="18">
        <f t="shared" si="8"/>
        <v>0</v>
      </c>
      <c r="J91" s="15" t="s">
        <v>69</v>
      </c>
    </row>
    <row r="92" spans="1:10" x14ac:dyDescent="0.3">
      <c r="A92" s="15">
        <v>4</v>
      </c>
      <c r="B92" s="15" t="s">
        <v>91</v>
      </c>
      <c r="C92" s="15">
        <v>18</v>
      </c>
      <c r="D92" s="15" t="s">
        <v>83</v>
      </c>
      <c r="E92" s="16">
        <v>76.3</v>
      </c>
      <c r="F92" s="19">
        <v>22.3</v>
      </c>
      <c r="G92" s="18">
        <f t="shared" si="6"/>
        <v>54</v>
      </c>
      <c r="H92" s="18">
        <f t="shared" si="7"/>
        <v>54</v>
      </c>
      <c r="I92" s="18">
        <f t="shared" si="8"/>
        <v>0</v>
      </c>
      <c r="J92" s="15" t="s">
        <v>69</v>
      </c>
    </row>
    <row r="93" spans="1:10" x14ac:dyDescent="0.3">
      <c r="A93" s="15">
        <v>4</v>
      </c>
      <c r="B93" s="15" t="s">
        <v>91</v>
      </c>
      <c r="C93" s="15">
        <v>19</v>
      </c>
      <c r="D93" s="15" t="s">
        <v>84</v>
      </c>
      <c r="E93" s="16">
        <v>74.2</v>
      </c>
      <c r="F93" s="17">
        <v>0</v>
      </c>
      <c r="G93" s="18">
        <f t="shared" si="6"/>
        <v>74.2</v>
      </c>
      <c r="H93" s="18">
        <f t="shared" si="7"/>
        <v>74.2</v>
      </c>
      <c r="I93" s="18">
        <f t="shared" si="8"/>
        <v>0</v>
      </c>
      <c r="J93" s="15" t="s">
        <v>69</v>
      </c>
    </row>
    <row r="94" spans="1:10" x14ac:dyDescent="0.3">
      <c r="A94" s="15">
        <v>4</v>
      </c>
      <c r="B94" s="15" t="s">
        <v>91</v>
      </c>
      <c r="C94" s="15">
        <v>20</v>
      </c>
      <c r="D94" s="15" t="s">
        <v>85</v>
      </c>
      <c r="E94" s="16">
        <v>52.5</v>
      </c>
      <c r="F94" s="17">
        <v>0</v>
      </c>
      <c r="G94" s="18">
        <f t="shared" si="6"/>
        <v>52.5</v>
      </c>
      <c r="H94" s="18">
        <f t="shared" si="7"/>
        <v>52.5</v>
      </c>
      <c r="I94" s="18">
        <f t="shared" si="8"/>
        <v>0</v>
      </c>
      <c r="J94" s="15" t="s">
        <v>69</v>
      </c>
    </row>
    <row r="95" spans="1:10" x14ac:dyDescent="0.3">
      <c r="A95" s="15">
        <v>4</v>
      </c>
      <c r="B95" s="15" t="s">
        <v>91</v>
      </c>
      <c r="C95" s="15">
        <v>21</v>
      </c>
      <c r="D95" s="15" t="s">
        <v>86</v>
      </c>
      <c r="E95" s="16">
        <v>51.3</v>
      </c>
      <c r="F95" s="17">
        <v>0</v>
      </c>
      <c r="G95" s="18">
        <f t="shared" si="6"/>
        <v>51.3</v>
      </c>
      <c r="H95" s="18">
        <f t="shared" si="7"/>
        <v>51.3</v>
      </c>
      <c r="I95" s="18">
        <f t="shared" si="8"/>
        <v>0</v>
      </c>
      <c r="J95" s="15" t="s">
        <v>69</v>
      </c>
    </row>
    <row r="96" spans="1:10" x14ac:dyDescent="0.3">
      <c r="A96" s="15">
        <v>4</v>
      </c>
      <c r="B96" s="15" t="s">
        <v>91</v>
      </c>
      <c r="C96" s="15">
        <v>22</v>
      </c>
      <c r="D96" s="15" t="s">
        <v>87</v>
      </c>
      <c r="E96" s="16">
        <v>41.2</v>
      </c>
      <c r="F96" s="17">
        <v>0</v>
      </c>
      <c r="G96" s="18">
        <f t="shared" si="6"/>
        <v>41.2</v>
      </c>
      <c r="H96" s="18">
        <f t="shared" si="7"/>
        <v>41.2</v>
      </c>
      <c r="I96" s="18">
        <f t="shared" si="8"/>
        <v>0</v>
      </c>
      <c r="J96" s="15" t="s">
        <v>62</v>
      </c>
    </row>
    <row r="97" spans="1:10" x14ac:dyDescent="0.3">
      <c r="A97" s="15">
        <v>4</v>
      </c>
      <c r="B97" s="15" t="s">
        <v>91</v>
      </c>
      <c r="C97" s="15">
        <v>23</v>
      </c>
      <c r="D97" s="15" t="s">
        <v>88</v>
      </c>
      <c r="E97" s="16">
        <v>42.4</v>
      </c>
      <c r="F97" s="17">
        <v>0</v>
      </c>
      <c r="G97" s="18">
        <f t="shared" si="6"/>
        <v>42.4</v>
      </c>
      <c r="H97" s="18">
        <f t="shared" si="7"/>
        <v>42.4</v>
      </c>
      <c r="I97" s="18">
        <f t="shared" si="8"/>
        <v>0</v>
      </c>
      <c r="J97" s="15" t="s">
        <v>62</v>
      </c>
    </row>
    <row r="98" spans="1:10" x14ac:dyDescent="0.3">
      <c r="A98" s="15">
        <v>5</v>
      </c>
      <c r="B98" s="15" t="s">
        <v>92</v>
      </c>
      <c r="C98" s="15">
        <v>0</v>
      </c>
      <c r="D98" s="15" t="s">
        <v>61</v>
      </c>
      <c r="E98" s="16">
        <v>39.200000000000003</v>
      </c>
      <c r="F98" s="17">
        <v>0</v>
      </c>
      <c r="G98" s="18">
        <f t="shared" ref="G98:G129" si="9">E98-F98</f>
        <v>39.200000000000003</v>
      </c>
      <c r="H98" s="18">
        <f t="shared" ref="H98:H129" si="10">MAX(G98,0)</f>
        <v>39.200000000000003</v>
      </c>
      <c r="I98" s="18">
        <f t="shared" ref="I98:I129" si="11">MAX(-G98,0)</f>
        <v>0</v>
      </c>
      <c r="J98" s="15" t="s">
        <v>62</v>
      </c>
    </row>
    <row r="99" spans="1:10" x14ac:dyDescent="0.3">
      <c r="A99" s="15">
        <v>5</v>
      </c>
      <c r="B99" s="15" t="s">
        <v>92</v>
      </c>
      <c r="C99" s="15">
        <v>1</v>
      </c>
      <c r="D99" s="15" t="s">
        <v>63</v>
      </c>
      <c r="E99" s="16">
        <v>39.9</v>
      </c>
      <c r="F99" s="17">
        <v>0</v>
      </c>
      <c r="G99" s="18">
        <f t="shared" si="9"/>
        <v>39.9</v>
      </c>
      <c r="H99" s="18">
        <f t="shared" si="10"/>
        <v>39.9</v>
      </c>
      <c r="I99" s="18">
        <f t="shared" si="11"/>
        <v>0</v>
      </c>
      <c r="J99" s="15" t="s">
        <v>62</v>
      </c>
    </row>
    <row r="100" spans="1:10" x14ac:dyDescent="0.3">
      <c r="A100" s="15">
        <v>5</v>
      </c>
      <c r="B100" s="15" t="s">
        <v>92</v>
      </c>
      <c r="C100" s="15">
        <v>2</v>
      </c>
      <c r="D100" s="15" t="s">
        <v>64</v>
      </c>
      <c r="E100" s="16">
        <v>44</v>
      </c>
      <c r="F100" s="17">
        <v>0</v>
      </c>
      <c r="G100" s="18">
        <f t="shared" si="9"/>
        <v>44</v>
      </c>
      <c r="H100" s="18">
        <f t="shared" si="10"/>
        <v>44</v>
      </c>
      <c r="I100" s="18">
        <f t="shared" si="11"/>
        <v>0</v>
      </c>
      <c r="J100" s="15" t="s">
        <v>62</v>
      </c>
    </row>
    <row r="101" spans="1:10" x14ac:dyDescent="0.3">
      <c r="A101" s="15">
        <v>5</v>
      </c>
      <c r="B101" s="15" t="s">
        <v>92</v>
      </c>
      <c r="C101" s="15">
        <v>3</v>
      </c>
      <c r="D101" s="15" t="s">
        <v>65</v>
      </c>
      <c r="E101" s="16">
        <v>41.9</v>
      </c>
      <c r="F101" s="17">
        <v>0</v>
      </c>
      <c r="G101" s="18">
        <f t="shared" si="9"/>
        <v>41.9</v>
      </c>
      <c r="H101" s="18">
        <f t="shared" si="10"/>
        <v>41.9</v>
      </c>
      <c r="I101" s="18">
        <f t="shared" si="11"/>
        <v>0</v>
      </c>
      <c r="J101" s="15" t="s">
        <v>62</v>
      </c>
    </row>
    <row r="102" spans="1:10" x14ac:dyDescent="0.3">
      <c r="A102" s="15">
        <v>5</v>
      </c>
      <c r="B102" s="15" t="s">
        <v>92</v>
      </c>
      <c r="C102" s="15">
        <v>4</v>
      </c>
      <c r="D102" s="15" t="s">
        <v>66</v>
      </c>
      <c r="E102" s="16">
        <v>40.6</v>
      </c>
      <c r="F102" s="17">
        <v>0</v>
      </c>
      <c r="G102" s="18">
        <f t="shared" si="9"/>
        <v>40.6</v>
      </c>
      <c r="H102" s="18">
        <f t="shared" si="10"/>
        <v>40.6</v>
      </c>
      <c r="I102" s="18">
        <f t="shared" si="11"/>
        <v>0</v>
      </c>
      <c r="J102" s="15" t="s">
        <v>62</v>
      </c>
    </row>
    <row r="103" spans="1:10" x14ac:dyDescent="0.3">
      <c r="A103" s="15">
        <v>5</v>
      </c>
      <c r="B103" s="15" t="s">
        <v>92</v>
      </c>
      <c r="C103" s="15">
        <v>5</v>
      </c>
      <c r="D103" s="15" t="s">
        <v>67</v>
      </c>
      <c r="E103" s="16">
        <v>58.1</v>
      </c>
      <c r="F103" s="17">
        <v>0</v>
      </c>
      <c r="G103" s="18">
        <f t="shared" si="9"/>
        <v>58.1</v>
      </c>
      <c r="H103" s="18">
        <f t="shared" si="10"/>
        <v>58.1</v>
      </c>
      <c r="I103" s="18">
        <f t="shared" si="11"/>
        <v>0</v>
      </c>
      <c r="J103" s="15" t="s">
        <v>62</v>
      </c>
    </row>
    <row r="104" spans="1:10" x14ac:dyDescent="0.3">
      <c r="A104" s="15">
        <v>5</v>
      </c>
      <c r="B104" s="15" t="s">
        <v>92</v>
      </c>
      <c r="C104" s="15">
        <v>6</v>
      </c>
      <c r="D104" s="15" t="s">
        <v>68</v>
      </c>
      <c r="E104" s="16">
        <v>67.7</v>
      </c>
      <c r="F104" s="19">
        <v>20.7</v>
      </c>
      <c r="G104" s="18">
        <f t="shared" si="9"/>
        <v>47</v>
      </c>
      <c r="H104" s="18">
        <f t="shared" si="10"/>
        <v>47</v>
      </c>
      <c r="I104" s="18">
        <f t="shared" si="11"/>
        <v>0</v>
      </c>
      <c r="J104" s="15" t="s">
        <v>69</v>
      </c>
    </row>
    <row r="105" spans="1:10" x14ac:dyDescent="0.3">
      <c r="A105" s="15">
        <v>5</v>
      </c>
      <c r="B105" s="15" t="s">
        <v>92</v>
      </c>
      <c r="C105" s="15">
        <v>7</v>
      </c>
      <c r="D105" s="15" t="s">
        <v>70</v>
      </c>
      <c r="E105" s="16">
        <v>85</v>
      </c>
      <c r="F105" s="19">
        <v>39.799999999999997</v>
      </c>
      <c r="G105" s="18">
        <f t="shared" si="9"/>
        <v>45.2</v>
      </c>
      <c r="H105" s="18">
        <f t="shared" si="10"/>
        <v>45.2</v>
      </c>
      <c r="I105" s="18">
        <f t="shared" si="11"/>
        <v>0</v>
      </c>
      <c r="J105" s="15" t="s">
        <v>69</v>
      </c>
    </row>
    <row r="106" spans="1:10" x14ac:dyDescent="0.3">
      <c r="A106" s="15">
        <v>5</v>
      </c>
      <c r="B106" s="15" t="s">
        <v>92</v>
      </c>
      <c r="C106" s="15">
        <v>8</v>
      </c>
      <c r="D106" s="15" t="s">
        <v>71</v>
      </c>
      <c r="E106" s="16">
        <v>89.1</v>
      </c>
      <c r="F106" s="19">
        <v>58.5</v>
      </c>
      <c r="G106" s="18">
        <f t="shared" si="9"/>
        <v>30.599999999999994</v>
      </c>
      <c r="H106" s="18">
        <f t="shared" si="10"/>
        <v>30.599999999999994</v>
      </c>
      <c r="I106" s="18">
        <f t="shared" si="11"/>
        <v>0</v>
      </c>
      <c r="J106" s="15" t="s">
        <v>69</v>
      </c>
    </row>
    <row r="107" spans="1:10" x14ac:dyDescent="0.3">
      <c r="A107" s="15">
        <v>5</v>
      </c>
      <c r="B107" s="15" t="s">
        <v>92</v>
      </c>
      <c r="C107" s="15">
        <v>9</v>
      </c>
      <c r="D107" s="15" t="s">
        <v>72</v>
      </c>
      <c r="E107" s="16">
        <v>91</v>
      </c>
      <c r="F107" s="19">
        <v>86.5</v>
      </c>
      <c r="G107" s="18">
        <f t="shared" si="9"/>
        <v>4.5</v>
      </c>
      <c r="H107" s="18">
        <f t="shared" si="10"/>
        <v>4.5</v>
      </c>
      <c r="I107" s="18">
        <f t="shared" si="11"/>
        <v>0</v>
      </c>
      <c r="J107" s="15" t="s">
        <v>69</v>
      </c>
    </row>
    <row r="108" spans="1:10" x14ac:dyDescent="0.3">
      <c r="A108" s="15">
        <v>5</v>
      </c>
      <c r="B108" s="15" t="s">
        <v>92</v>
      </c>
      <c r="C108" s="15">
        <v>10</v>
      </c>
      <c r="D108" s="15" t="s">
        <v>73</v>
      </c>
      <c r="E108" s="16">
        <v>92</v>
      </c>
      <c r="F108" s="19">
        <v>112.3</v>
      </c>
      <c r="G108" s="18">
        <f t="shared" si="9"/>
        <v>-20.299999999999997</v>
      </c>
      <c r="H108" s="18">
        <f t="shared" si="10"/>
        <v>0</v>
      </c>
      <c r="I108" s="18">
        <f t="shared" si="11"/>
        <v>20.299999999999997</v>
      </c>
      <c r="J108" s="15" t="s">
        <v>74</v>
      </c>
    </row>
    <row r="109" spans="1:10" x14ac:dyDescent="0.3">
      <c r="A109" s="15">
        <v>5</v>
      </c>
      <c r="B109" s="15" t="s">
        <v>92</v>
      </c>
      <c r="C109" s="15">
        <v>11</v>
      </c>
      <c r="D109" s="15" t="s">
        <v>75</v>
      </c>
      <c r="E109" s="16">
        <v>92.9</v>
      </c>
      <c r="F109" s="19">
        <v>122.8</v>
      </c>
      <c r="G109" s="18">
        <f t="shared" si="9"/>
        <v>-29.899999999999991</v>
      </c>
      <c r="H109" s="18">
        <f t="shared" si="10"/>
        <v>0</v>
      </c>
      <c r="I109" s="18">
        <f t="shared" si="11"/>
        <v>29.899999999999991</v>
      </c>
      <c r="J109" s="15" t="s">
        <v>74</v>
      </c>
    </row>
    <row r="110" spans="1:10" x14ac:dyDescent="0.3">
      <c r="A110" s="15">
        <v>5</v>
      </c>
      <c r="B110" s="15" t="s">
        <v>92</v>
      </c>
      <c r="C110" s="15">
        <v>12</v>
      </c>
      <c r="D110" s="15" t="s">
        <v>76</v>
      </c>
      <c r="E110" s="16">
        <v>74.400000000000006</v>
      </c>
      <c r="F110" s="19">
        <v>134</v>
      </c>
      <c r="G110" s="18">
        <f t="shared" si="9"/>
        <v>-59.599999999999994</v>
      </c>
      <c r="H110" s="18">
        <f t="shared" si="10"/>
        <v>0</v>
      </c>
      <c r="I110" s="18">
        <f t="shared" si="11"/>
        <v>59.599999999999994</v>
      </c>
      <c r="J110" s="15" t="s">
        <v>77</v>
      </c>
    </row>
    <row r="111" spans="1:10" x14ac:dyDescent="0.3">
      <c r="A111" s="15">
        <v>5</v>
      </c>
      <c r="B111" s="15" t="s">
        <v>92</v>
      </c>
      <c r="C111" s="15">
        <v>13</v>
      </c>
      <c r="D111" s="15" t="s">
        <v>78</v>
      </c>
      <c r="E111" s="16">
        <v>86.3</v>
      </c>
      <c r="F111" s="19">
        <v>123.3</v>
      </c>
      <c r="G111" s="18">
        <f t="shared" si="9"/>
        <v>-37</v>
      </c>
      <c r="H111" s="18">
        <f t="shared" si="10"/>
        <v>0</v>
      </c>
      <c r="I111" s="18">
        <f t="shared" si="11"/>
        <v>37</v>
      </c>
      <c r="J111" s="15" t="s">
        <v>74</v>
      </c>
    </row>
    <row r="112" spans="1:10" x14ac:dyDescent="0.3">
      <c r="A112" s="15">
        <v>5</v>
      </c>
      <c r="B112" s="15" t="s">
        <v>92</v>
      </c>
      <c r="C112" s="15">
        <v>14</v>
      </c>
      <c r="D112" s="15" t="s">
        <v>79</v>
      </c>
      <c r="E112" s="16">
        <v>94.1</v>
      </c>
      <c r="F112" s="19">
        <v>109.6</v>
      </c>
      <c r="G112" s="18">
        <f t="shared" si="9"/>
        <v>-15.5</v>
      </c>
      <c r="H112" s="18">
        <f t="shared" si="10"/>
        <v>0</v>
      </c>
      <c r="I112" s="18">
        <f t="shared" si="11"/>
        <v>15.5</v>
      </c>
      <c r="J112" s="15" t="s">
        <v>74</v>
      </c>
    </row>
    <row r="113" spans="1:10" x14ac:dyDescent="0.3">
      <c r="A113" s="15">
        <v>5</v>
      </c>
      <c r="B113" s="15" t="s">
        <v>92</v>
      </c>
      <c r="C113" s="15">
        <v>15</v>
      </c>
      <c r="D113" s="15" t="s">
        <v>80</v>
      </c>
      <c r="E113" s="16">
        <v>93.5</v>
      </c>
      <c r="F113" s="19">
        <v>87.7</v>
      </c>
      <c r="G113" s="18">
        <f t="shared" si="9"/>
        <v>5.7999999999999972</v>
      </c>
      <c r="H113" s="18">
        <f t="shared" si="10"/>
        <v>5.7999999999999972</v>
      </c>
      <c r="I113" s="18">
        <f t="shared" si="11"/>
        <v>0</v>
      </c>
      <c r="J113" s="15" t="s">
        <v>69</v>
      </c>
    </row>
    <row r="114" spans="1:10" x14ac:dyDescent="0.3">
      <c r="A114" s="15">
        <v>5</v>
      </c>
      <c r="B114" s="15" t="s">
        <v>92</v>
      </c>
      <c r="C114" s="15">
        <v>16</v>
      </c>
      <c r="D114" s="15" t="s">
        <v>81</v>
      </c>
      <c r="E114" s="16">
        <v>95.6</v>
      </c>
      <c r="F114" s="19">
        <v>58.2</v>
      </c>
      <c r="G114" s="18">
        <f t="shared" si="9"/>
        <v>37.399999999999991</v>
      </c>
      <c r="H114" s="18">
        <f t="shared" si="10"/>
        <v>37.399999999999991</v>
      </c>
      <c r="I114" s="18">
        <f t="shared" si="11"/>
        <v>0</v>
      </c>
      <c r="J114" s="15" t="s">
        <v>69</v>
      </c>
    </row>
    <row r="115" spans="1:10" x14ac:dyDescent="0.3">
      <c r="A115" s="15">
        <v>5</v>
      </c>
      <c r="B115" s="15" t="s">
        <v>92</v>
      </c>
      <c r="C115" s="15">
        <v>17</v>
      </c>
      <c r="D115" s="15" t="s">
        <v>82</v>
      </c>
      <c r="E115" s="16">
        <v>89.1</v>
      </c>
      <c r="F115" s="19">
        <v>38.6</v>
      </c>
      <c r="G115" s="18">
        <f t="shared" si="9"/>
        <v>50.499999999999993</v>
      </c>
      <c r="H115" s="18">
        <f t="shared" si="10"/>
        <v>50.499999999999993</v>
      </c>
      <c r="I115" s="18">
        <f t="shared" si="11"/>
        <v>0</v>
      </c>
      <c r="J115" s="15" t="s">
        <v>69</v>
      </c>
    </row>
    <row r="116" spans="1:10" x14ac:dyDescent="0.3">
      <c r="A116" s="15">
        <v>5</v>
      </c>
      <c r="B116" s="15" t="s">
        <v>92</v>
      </c>
      <c r="C116" s="15">
        <v>18</v>
      </c>
      <c r="D116" s="15" t="s">
        <v>83</v>
      </c>
      <c r="E116" s="16">
        <v>75.5</v>
      </c>
      <c r="F116" s="19">
        <v>22.6</v>
      </c>
      <c r="G116" s="18">
        <f t="shared" si="9"/>
        <v>52.9</v>
      </c>
      <c r="H116" s="18">
        <f t="shared" si="10"/>
        <v>52.9</v>
      </c>
      <c r="I116" s="18">
        <f t="shared" si="11"/>
        <v>0</v>
      </c>
      <c r="J116" s="15" t="s">
        <v>69</v>
      </c>
    </row>
    <row r="117" spans="1:10" x14ac:dyDescent="0.3">
      <c r="A117" s="15">
        <v>5</v>
      </c>
      <c r="B117" s="15" t="s">
        <v>92</v>
      </c>
      <c r="C117" s="15">
        <v>19</v>
      </c>
      <c r="D117" s="15" t="s">
        <v>84</v>
      </c>
      <c r="E117" s="16">
        <v>73.400000000000006</v>
      </c>
      <c r="F117" s="17">
        <v>0</v>
      </c>
      <c r="G117" s="18">
        <f t="shared" si="9"/>
        <v>73.400000000000006</v>
      </c>
      <c r="H117" s="18">
        <f t="shared" si="10"/>
        <v>73.400000000000006</v>
      </c>
      <c r="I117" s="18">
        <f t="shared" si="11"/>
        <v>0</v>
      </c>
      <c r="J117" s="15" t="s">
        <v>69</v>
      </c>
    </row>
    <row r="118" spans="1:10" x14ac:dyDescent="0.3">
      <c r="A118" s="15">
        <v>5</v>
      </c>
      <c r="B118" s="15" t="s">
        <v>92</v>
      </c>
      <c r="C118" s="15">
        <v>20</v>
      </c>
      <c r="D118" s="15" t="s">
        <v>85</v>
      </c>
      <c r="E118" s="16">
        <v>54</v>
      </c>
      <c r="F118" s="17">
        <v>0</v>
      </c>
      <c r="G118" s="18">
        <f t="shared" si="9"/>
        <v>54</v>
      </c>
      <c r="H118" s="18">
        <f t="shared" si="10"/>
        <v>54</v>
      </c>
      <c r="I118" s="18">
        <f t="shared" si="11"/>
        <v>0</v>
      </c>
      <c r="J118" s="15" t="s">
        <v>69</v>
      </c>
    </row>
    <row r="119" spans="1:10" x14ac:dyDescent="0.3">
      <c r="A119" s="15">
        <v>5</v>
      </c>
      <c r="B119" s="15" t="s">
        <v>92</v>
      </c>
      <c r="C119" s="15">
        <v>21</v>
      </c>
      <c r="D119" s="15" t="s">
        <v>86</v>
      </c>
      <c r="E119" s="16">
        <v>55.9</v>
      </c>
      <c r="F119" s="17">
        <v>0</v>
      </c>
      <c r="G119" s="18">
        <f t="shared" si="9"/>
        <v>55.9</v>
      </c>
      <c r="H119" s="18">
        <f t="shared" si="10"/>
        <v>55.9</v>
      </c>
      <c r="I119" s="18">
        <f t="shared" si="11"/>
        <v>0</v>
      </c>
      <c r="J119" s="15" t="s">
        <v>69</v>
      </c>
    </row>
    <row r="120" spans="1:10" x14ac:dyDescent="0.3">
      <c r="A120" s="15">
        <v>5</v>
      </c>
      <c r="B120" s="15" t="s">
        <v>92</v>
      </c>
      <c r="C120" s="15">
        <v>22</v>
      </c>
      <c r="D120" s="15" t="s">
        <v>87</v>
      </c>
      <c r="E120" s="16">
        <v>38.6</v>
      </c>
      <c r="F120" s="17">
        <v>0</v>
      </c>
      <c r="G120" s="18">
        <f t="shared" si="9"/>
        <v>38.6</v>
      </c>
      <c r="H120" s="18">
        <f t="shared" si="10"/>
        <v>38.6</v>
      </c>
      <c r="I120" s="18">
        <f t="shared" si="11"/>
        <v>0</v>
      </c>
      <c r="J120" s="15" t="s">
        <v>62</v>
      </c>
    </row>
    <row r="121" spans="1:10" x14ac:dyDescent="0.3">
      <c r="A121" s="15">
        <v>5</v>
      </c>
      <c r="B121" s="15" t="s">
        <v>92</v>
      </c>
      <c r="C121" s="15">
        <v>23</v>
      </c>
      <c r="D121" s="15" t="s">
        <v>88</v>
      </c>
      <c r="E121" s="16">
        <v>40.4</v>
      </c>
      <c r="F121" s="17">
        <v>0</v>
      </c>
      <c r="G121" s="18">
        <f t="shared" si="9"/>
        <v>40.4</v>
      </c>
      <c r="H121" s="18">
        <f t="shared" si="10"/>
        <v>40.4</v>
      </c>
      <c r="I121" s="18">
        <f t="shared" si="11"/>
        <v>0</v>
      </c>
      <c r="J121" s="15" t="s">
        <v>62</v>
      </c>
    </row>
    <row r="122" spans="1:10" x14ac:dyDescent="0.3">
      <c r="A122" s="15">
        <v>6</v>
      </c>
      <c r="B122" s="15" t="s">
        <v>93</v>
      </c>
      <c r="C122" s="15">
        <v>0</v>
      </c>
      <c r="D122" s="15" t="s">
        <v>61</v>
      </c>
      <c r="E122" s="16">
        <v>40</v>
      </c>
      <c r="F122" s="17">
        <v>0</v>
      </c>
      <c r="G122" s="18">
        <f t="shared" si="9"/>
        <v>40</v>
      </c>
      <c r="H122" s="18">
        <f t="shared" si="10"/>
        <v>40</v>
      </c>
      <c r="I122" s="18">
        <f t="shared" si="11"/>
        <v>0</v>
      </c>
      <c r="J122" s="15" t="s">
        <v>62</v>
      </c>
    </row>
    <row r="123" spans="1:10" x14ac:dyDescent="0.3">
      <c r="A123" s="15">
        <v>6</v>
      </c>
      <c r="B123" s="15" t="s">
        <v>93</v>
      </c>
      <c r="C123" s="15">
        <v>1</v>
      </c>
      <c r="D123" s="15" t="s">
        <v>63</v>
      </c>
      <c r="E123" s="16">
        <v>43.2</v>
      </c>
      <c r="F123" s="17">
        <v>0</v>
      </c>
      <c r="G123" s="18">
        <f t="shared" si="9"/>
        <v>43.2</v>
      </c>
      <c r="H123" s="18">
        <f t="shared" si="10"/>
        <v>43.2</v>
      </c>
      <c r="I123" s="18">
        <f t="shared" si="11"/>
        <v>0</v>
      </c>
      <c r="J123" s="15" t="s">
        <v>62</v>
      </c>
    </row>
    <row r="124" spans="1:10" x14ac:dyDescent="0.3">
      <c r="A124" s="15">
        <v>6</v>
      </c>
      <c r="B124" s="15" t="s">
        <v>93</v>
      </c>
      <c r="C124" s="15">
        <v>2</v>
      </c>
      <c r="D124" s="15" t="s">
        <v>64</v>
      </c>
      <c r="E124" s="16">
        <v>39.5</v>
      </c>
      <c r="F124" s="17">
        <v>0</v>
      </c>
      <c r="G124" s="18">
        <f t="shared" si="9"/>
        <v>39.5</v>
      </c>
      <c r="H124" s="18">
        <f t="shared" si="10"/>
        <v>39.5</v>
      </c>
      <c r="I124" s="18">
        <f t="shared" si="11"/>
        <v>0</v>
      </c>
      <c r="J124" s="15" t="s">
        <v>62</v>
      </c>
    </row>
    <row r="125" spans="1:10" x14ac:dyDescent="0.3">
      <c r="A125" s="15">
        <v>6</v>
      </c>
      <c r="B125" s="15" t="s">
        <v>93</v>
      </c>
      <c r="C125" s="15">
        <v>3</v>
      </c>
      <c r="D125" s="15" t="s">
        <v>65</v>
      </c>
      <c r="E125" s="16">
        <v>39.1</v>
      </c>
      <c r="F125" s="17">
        <v>0</v>
      </c>
      <c r="G125" s="18">
        <f t="shared" si="9"/>
        <v>39.1</v>
      </c>
      <c r="H125" s="18">
        <f t="shared" si="10"/>
        <v>39.1</v>
      </c>
      <c r="I125" s="18">
        <f t="shared" si="11"/>
        <v>0</v>
      </c>
      <c r="J125" s="15" t="s">
        <v>62</v>
      </c>
    </row>
    <row r="126" spans="1:10" x14ac:dyDescent="0.3">
      <c r="A126" s="15">
        <v>6</v>
      </c>
      <c r="B126" s="15" t="s">
        <v>93</v>
      </c>
      <c r="C126" s="15">
        <v>4</v>
      </c>
      <c r="D126" s="15" t="s">
        <v>66</v>
      </c>
      <c r="E126" s="16">
        <v>40.700000000000003</v>
      </c>
      <c r="F126" s="17">
        <v>0</v>
      </c>
      <c r="G126" s="18">
        <f t="shared" si="9"/>
        <v>40.700000000000003</v>
      </c>
      <c r="H126" s="18">
        <f t="shared" si="10"/>
        <v>40.700000000000003</v>
      </c>
      <c r="I126" s="18">
        <f t="shared" si="11"/>
        <v>0</v>
      </c>
      <c r="J126" s="15" t="s">
        <v>62</v>
      </c>
    </row>
    <row r="127" spans="1:10" x14ac:dyDescent="0.3">
      <c r="A127" s="15">
        <v>6</v>
      </c>
      <c r="B127" s="15" t="s">
        <v>93</v>
      </c>
      <c r="C127" s="15">
        <v>5</v>
      </c>
      <c r="D127" s="15" t="s">
        <v>67</v>
      </c>
      <c r="E127" s="16">
        <v>57.5</v>
      </c>
      <c r="F127" s="17">
        <v>0</v>
      </c>
      <c r="G127" s="18">
        <f t="shared" si="9"/>
        <v>57.5</v>
      </c>
      <c r="H127" s="18">
        <f t="shared" si="10"/>
        <v>57.5</v>
      </c>
      <c r="I127" s="18">
        <f t="shared" si="11"/>
        <v>0</v>
      </c>
      <c r="J127" s="15" t="s">
        <v>62</v>
      </c>
    </row>
    <row r="128" spans="1:10" x14ac:dyDescent="0.3">
      <c r="A128" s="15">
        <v>6</v>
      </c>
      <c r="B128" s="15" t="s">
        <v>93</v>
      </c>
      <c r="C128" s="15">
        <v>6</v>
      </c>
      <c r="D128" s="15" t="s">
        <v>68</v>
      </c>
      <c r="E128" s="16">
        <v>68.7</v>
      </c>
      <c r="F128" s="19">
        <v>19</v>
      </c>
      <c r="G128" s="18">
        <f t="shared" si="9"/>
        <v>49.7</v>
      </c>
      <c r="H128" s="18">
        <f t="shared" si="10"/>
        <v>49.7</v>
      </c>
      <c r="I128" s="18">
        <f t="shared" si="11"/>
        <v>0</v>
      </c>
      <c r="J128" s="15" t="s">
        <v>69</v>
      </c>
    </row>
    <row r="129" spans="1:10" x14ac:dyDescent="0.3">
      <c r="A129" s="15">
        <v>6</v>
      </c>
      <c r="B129" s="15" t="s">
        <v>93</v>
      </c>
      <c r="C129" s="15">
        <v>7</v>
      </c>
      <c r="D129" s="15" t="s">
        <v>70</v>
      </c>
      <c r="E129" s="16">
        <v>88.5</v>
      </c>
      <c r="F129" s="19">
        <v>35.4</v>
      </c>
      <c r="G129" s="18">
        <f t="shared" si="9"/>
        <v>53.1</v>
      </c>
      <c r="H129" s="18">
        <f t="shared" si="10"/>
        <v>53.1</v>
      </c>
      <c r="I129" s="18">
        <f t="shared" si="11"/>
        <v>0</v>
      </c>
      <c r="J129" s="15" t="s">
        <v>69</v>
      </c>
    </row>
    <row r="130" spans="1:10" x14ac:dyDescent="0.3">
      <c r="A130" s="15">
        <v>6</v>
      </c>
      <c r="B130" s="15" t="s">
        <v>93</v>
      </c>
      <c r="C130" s="15">
        <v>8</v>
      </c>
      <c r="D130" s="15" t="s">
        <v>71</v>
      </c>
      <c r="E130" s="16">
        <v>92.9</v>
      </c>
      <c r="F130" s="19">
        <v>56.1</v>
      </c>
      <c r="G130" s="18">
        <f t="shared" ref="G130:G161" si="12">E130-F130</f>
        <v>36.800000000000004</v>
      </c>
      <c r="H130" s="18">
        <f t="shared" ref="H130:H161" si="13">MAX(G130,0)</f>
        <v>36.800000000000004</v>
      </c>
      <c r="I130" s="18">
        <f t="shared" ref="I130:I161" si="14">MAX(-G130,0)</f>
        <v>0</v>
      </c>
      <c r="J130" s="15" t="s">
        <v>69</v>
      </c>
    </row>
    <row r="131" spans="1:10" x14ac:dyDescent="0.3">
      <c r="A131" s="15">
        <v>6</v>
      </c>
      <c r="B131" s="15" t="s">
        <v>93</v>
      </c>
      <c r="C131" s="15">
        <v>9</v>
      </c>
      <c r="D131" s="15" t="s">
        <v>72</v>
      </c>
      <c r="E131" s="16">
        <v>90.9</v>
      </c>
      <c r="F131" s="19">
        <v>82.4</v>
      </c>
      <c r="G131" s="18">
        <f t="shared" si="12"/>
        <v>8.5</v>
      </c>
      <c r="H131" s="18">
        <f t="shared" si="13"/>
        <v>8.5</v>
      </c>
      <c r="I131" s="18">
        <f t="shared" si="14"/>
        <v>0</v>
      </c>
      <c r="J131" s="15" t="s">
        <v>69</v>
      </c>
    </row>
    <row r="132" spans="1:10" x14ac:dyDescent="0.3">
      <c r="A132" s="15">
        <v>6</v>
      </c>
      <c r="B132" s="15" t="s">
        <v>93</v>
      </c>
      <c r="C132" s="15">
        <v>10</v>
      </c>
      <c r="D132" s="15" t="s">
        <v>73</v>
      </c>
      <c r="E132" s="16">
        <v>95.6</v>
      </c>
      <c r="F132" s="19">
        <v>103.8</v>
      </c>
      <c r="G132" s="18">
        <f t="shared" si="12"/>
        <v>-8.2000000000000028</v>
      </c>
      <c r="H132" s="18">
        <f t="shared" si="13"/>
        <v>0</v>
      </c>
      <c r="I132" s="18">
        <f t="shared" si="14"/>
        <v>8.2000000000000028</v>
      </c>
      <c r="J132" s="15" t="s">
        <v>74</v>
      </c>
    </row>
    <row r="133" spans="1:10" x14ac:dyDescent="0.3">
      <c r="A133" s="15">
        <v>6</v>
      </c>
      <c r="B133" s="15" t="s">
        <v>93</v>
      </c>
      <c r="C133" s="15">
        <v>11</v>
      </c>
      <c r="D133" s="15" t="s">
        <v>75</v>
      </c>
      <c r="E133" s="16">
        <v>93.3</v>
      </c>
      <c r="F133" s="19">
        <v>118.7</v>
      </c>
      <c r="G133" s="18">
        <f t="shared" si="12"/>
        <v>-25.400000000000006</v>
      </c>
      <c r="H133" s="18">
        <f t="shared" si="13"/>
        <v>0</v>
      </c>
      <c r="I133" s="18">
        <f t="shared" si="14"/>
        <v>25.400000000000006</v>
      </c>
      <c r="J133" s="15" t="s">
        <v>74</v>
      </c>
    </row>
    <row r="134" spans="1:10" x14ac:dyDescent="0.3">
      <c r="A134" s="15">
        <v>6</v>
      </c>
      <c r="B134" s="15" t="s">
        <v>93</v>
      </c>
      <c r="C134" s="15">
        <v>12</v>
      </c>
      <c r="D134" s="15" t="s">
        <v>76</v>
      </c>
      <c r="E134" s="16">
        <v>74</v>
      </c>
      <c r="F134" s="19">
        <v>121.6</v>
      </c>
      <c r="G134" s="18">
        <f t="shared" si="12"/>
        <v>-47.599999999999994</v>
      </c>
      <c r="H134" s="18">
        <f t="shared" si="13"/>
        <v>0</v>
      </c>
      <c r="I134" s="18">
        <f t="shared" si="14"/>
        <v>47.599999999999994</v>
      </c>
      <c r="J134" s="15" t="s">
        <v>77</v>
      </c>
    </row>
    <row r="135" spans="1:10" x14ac:dyDescent="0.3">
      <c r="A135" s="15">
        <v>6</v>
      </c>
      <c r="B135" s="15" t="s">
        <v>93</v>
      </c>
      <c r="C135" s="15">
        <v>13</v>
      </c>
      <c r="D135" s="15" t="s">
        <v>78</v>
      </c>
      <c r="E135" s="16">
        <v>86.3</v>
      </c>
      <c r="F135" s="19">
        <v>115.1</v>
      </c>
      <c r="G135" s="18">
        <f t="shared" si="12"/>
        <v>-28.799999999999997</v>
      </c>
      <c r="H135" s="18">
        <f t="shared" si="13"/>
        <v>0</v>
      </c>
      <c r="I135" s="18">
        <f t="shared" si="14"/>
        <v>28.799999999999997</v>
      </c>
      <c r="J135" s="15" t="s">
        <v>74</v>
      </c>
    </row>
    <row r="136" spans="1:10" x14ac:dyDescent="0.3">
      <c r="A136" s="15">
        <v>6</v>
      </c>
      <c r="B136" s="15" t="s">
        <v>93</v>
      </c>
      <c r="C136" s="15">
        <v>14</v>
      </c>
      <c r="D136" s="15" t="s">
        <v>79</v>
      </c>
      <c r="E136" s="16">
        <v>88.9</v>
      </c>
      <c r="F136" s="19">
        <v>99.1</v>
      </c>
      <c r="G136" s="18">
        <f t="shared" si="12"/>
        <v>-10.199999999999989</v>
      </c>
      <c r="H136" s="18">
        <f t="shared" si="13"/>
        <v>0</v>
      </c>
      <c r="I136" s="18">
        <f t="shared" si="14"/>
        <v>10.199999999999989</v>
      </c>
      <c r="J136" s="15" t="s">
        <v>74</v>
      </c>
    </row>
    <row r="137" spans="1:10" x14ac:dyDescent="0.3">
      <c r="A137" s="15">
        <v>6</v>
      </c>
      <c r="B137" s="15" t="s">
        <v>93</v>
      </c>
      <c r="C137" s="15">
        <v>15</v>
      </c>
      <c r="D137" s="15" t="s">
        <v>80</v>
      </c>
      <c r="E137" s="16">
        <v>96.6</v>
      </c>
      <c r="F137" s="19">
        <v>76.5</v>
      </c>
      <c r="G137" s="18">
        <f t="shared" si="12"/>
        <v>20.099999999999994</v>
      </c>
      <c r="H137" s="18">
        <f t="shared" si="13"/>
        <v>20.099999999999994</v>
      </c>
      <c r="I137" s="18">
        <f t="shared" si="14"/>
        <v>0</v>
      </c>
      <c r="J137" s="15" t="s">
        <v>69</v>
      </c>
    </row>
    <row r="138" spans="1:10" x14ac:dyDescent="0.3">
      <c r="A138" s="15">
        <v>6</v>
      </c>
      <c r="B138" s="15" t="s">
        <v>93</v>
      </c>
      <c r="C138" s="15">
        <v>16</v>
      </c>
      <c r="D138" s="15" t="s">
        <v>81</v>
      </c>
      <c r="E138" s="16">
        <v>95.4</v>
      </c>
      <c r="F138" s="19">
        <v>55.3</v>
      </c>
      <c r="G138" s="18">
        <f t="shared" si="12"/>
        <v>40.100000000000009</v>
      </c>
      <c r="H138" s="18">
        <f t="shared" si="13"/>
        <v>40.100000000000009</v>
      </c>
      <c r="I138" s="18">
        <f t="shared" si="14"/>
        <v>0</v>
      </c>
      <c r="J138" s="15" t="s">
        <v>69</v>
      </c>
    </row>
    <row r="139" spans="1:10" x14ac:dyDescent="0.3">
      <c r="A139" s="15">
        <v>6</v>
      </c>
      <c r="B139" s="15" t="s">
        <v>93</v>
      </c>
      <c r="C139" s="15">
        <v>17</v>
      </c>
      <c r="D139" s="15" t="s">
        <v>82</v>
      </c>
      <c r="E139" s="16">
        <v>91.1</v>
      </c>
      <c r="F139" s="19">
        <v>39.6</v>
      </c>
      <c r="G139" s="18">
        <f t="shared" si="12"/>
        <v>51.499999999999993</v>
      </c>
      <c r="H139" s="18">
        <f t="shared" si="13"/>
        <v>51.499999999999993</v>
      </c>
      <c r="I139" s="18">
        <f t="shared" si="14"/>
        <v>0</v>
      </c>
      <c r="J139" s="15" t="s">
        <v>69</v>
      </c>
    </row>
    <row r="140" spans="1:10" x14ac:dyDescent="0.3">
      <c r="A140" s="15">
        <v>6</v>
      </c>
      <c r="B140" s="15" t="s">
        <v>93</v>
      </c>
      <c r="C140" s="15">
        <v>18</v>
      </c>
      <c r="D140" s="15" t="s">
        <v>83</v>
      </c>
      <c r="E140" s="16">
        <v>79</v>
      </c>
      <c r="F140" s="19">
        <v>21.4</v>
      </c>
      <c r="G140" s="18">
        <f t="shared" si="12"/>
        <v>57.6</v>
      </c>
      <c r="H140" s="18">
        <f t="shared" si="13"/>
        <v>57.6</v>
      </c>
      <c r="I140" s="18">
        <f t="shared" si="14"/>
        <v>0</v>
      </c>
      <c r="J140" s="15" t="s">
        <v>69</v>
      </c>
    </row>
    <row r="141" spans="1:10" x14ac:dyDescent="0.3">
      <c r="A141" s="15">
        <v>6</v>
      </c>
      <c r="B141" s="15" t="s">
        <v>93</v>
      </c>
      <c r="C141" s="15">
        <v>19</v>
      </c>
      <c r="D141" s="15" t="s">
        <v>84</v>
      </c>
      <c r="E141" s="16">
        <v>73.3</v>
      </c>
      <c r="F141" s="17">
        <v>0</v>
      </c>
      <c r="G141" s="18">
        <f t="shared" si="12"/>
        <v>73.3</v>
      </c>
      <c r="H141" s="18">
        <f t="shared" si="13"/>
        <v>73.3</v>
      </c>
      <c r="I141" s="18">
        <f t="shared" si="14"/>
        <v>0</v>
      </c>
      <c r="J141" s="15" t="s">
        <v>69</v>
      </c>
    </row>
    <row r="142" spans="1:10" x14ac:dyDescent="0.3">
      <c r="A142" s="15">
        <v>6</v>
      </c>
      <c r="B142" s="15" t="s">
        <v>93</v>
      </c>
      <c r="C142" s="15">
        <v>20</v>
      </c>
      <c r="D142" s="15" t="s">
        <v>85</v>
      </c>
      <c r="E142" s="16">
        <v>50.9</v>
      </c>
      <c r="F142" s="17">
        <v>0</v>
      </c>
      <c r="G142" s="18">
        <f t="shared" si="12"/>
        <v>50.9</v>
      </c>
      <c r="H142" s="18">
        <f t="shared" si="13"/>
        <v>50.9</v>
      </c>
      <c r="I142" s="18">
        <f t="shared" si="14"/>
        <v>0</v>
      </c>
      <c r="J142" s="15" t="s">
        <v>69</v>
      </c>
    </row>
    <row r="143" spans="1:10" x14ac:dyDescent="0.3">
      <c r="A143" s="15">
        <v>6</v>
      </c>
      <c r="B143" s="15" t="s">
        <v>93</v>
      </c>
      <c r="C143" s="15">
        <v>21</v>
      </c>
      <c r="D143" s="15" t="s">
        <v>86</v>
      </c>
      <c r="E143" s="16">
        <v>51.8</v>
      </c>
      <c r="F143" s="17">
        <v>0</v>
      </c>
      <c r="G143" s="18">
        <f t="shared" si="12"/>
        <v>51.8</v>
      </c>
      <c r="H143" s="18">
        <f t="shared" si="13"/>
        <v>51.8</v>
      </c>
      <c r="I143" s="18">
        <f t="shared" si="14"/>
        <v>0</v>
      </c>
      <c r="J143" s="15" t="s">
        <v>69</v>
      </c>
    </row>
    <row r="144" spans="1:10" x14ac:dyDescent="0.3">
      <c r="A144" s="15">
        <v>6</v>
      </c>
      <c r="B144" s="15" t="s">
        <v>93</v>
      </c>
      <c r="C144" s="15">
        <v>22</v>
      </c>
      <c r="D144" s="15" t="s">
        <v>87</v>
      </c>
      <c r="E144" s="16">
        <v>43.8</v>
      </c>
      <c r="F144" s="17">
        <v>0</v>
      </c>
      <c r="G144" s="18">
        <f t="shared" si="12"/>
        <v>43.8</v>
      </c>
      <c r="H144" s="18">
        <f t="shared" si="13"/>
        <v>43.8</v>
      </c>
      <c r="I144" s="18">
        <f t="shared" si="14"/>
        <v>0</v>
      </c>
      <c r="J144" s="15" t="s">
        <v>62</v>
      </c>
    </row>
    <row r="145" spans="1:10" x14ac:dyDescent="0.3">
      <c r="A145" s="15">
        <v>6</v>
      </c>
      <c r="B145" s="15" t="s">
        <v>93</v>
      </c>
      <c r="C145" s="15">
        <v>23</v>
      </c>
      <c r="D145" s="15" t="s">
        <v>88</v>
      </c>
      <c r="E145" s="16">
        <v>41.5</v>
      </c>
      <c r="F145" s="17">
        <v>0</v>
      </c>
      <c r="G145" s="18">
        <f t="shared" si="12"/>
        <v>41.5</v>
      </c>
      <c r="H145" s="18">
        <f t="shared" si="13"/>
        <v>41.5</v>
      </c>
      <c r="I145" s="18">
        <f t="shared" si="14"/>
        <v>0</v>
      </c>
      <c r="J145" s="15" t="s">
        <v>62</v>
      </c>
    </row>
    <row r="146" spans="1:10" x14ac:dyDescent="0.3">
      <c r="A146" s="20">
        <v>7</v>
      </c>
      <c r="B146" s="20" t="s">
        <v>94</v>
      </c>
      <c r="C146" s="20">
        <v>0</v>
      </c>
      <c r="D146" s="20" t="s">
        <v>61</v>
      </c>
      <c r="E146" s="21">
        <v>43.3</v>
      </c>
      <c r="F146" s="22">
        <v>0</v>
      </c>
      <c r="G146" s="23">
        <f t="shared" si="12"/>
        <v>43.3</v>
      </c>
      <c r="H146" s="23">
        <f t="shared" si="13"/>
        <v>43.3</v>
      </c>
      <c r="I146" s="23">
        <f t="shared" si="14"/>
        <v>0</v>
      </c>
      <c r="J146" s="20" t="s">
        <v>62</v>
      </c>
    </row>
    <row r="147" spans="1:10" x14ac:dyDescent="0.3">
      <c r="A147" s="20">
        <v>7</v>
      </c>
      <c r="B147" s="20" t="s">
        <v>94</v>
      </c>
      <c r="C147" s="20">
        <v>1</v>
      </c>
      <c r="D147" s="20" t="s">
        <v>63</v>
      </c>
      <c r="E147" s="21">
        <v>44.5</v>
      </c>
      <c r="F147" s="22">
        <v>0</v>
      </c>
      <c r="G147" s="23">
        <f t="shared" si="12"/>
        <v>44.5</v>
      </c>
      <c r="H147" s="23">
        <f t="shared" si="13"/>
        <v>44.5</v>
      </c>
      <c r="I147" s="23">
        <f t="shared" si="14"/>
        <v>0</v>
      </c>
      <c r="J147" s="20" t="s">
        <v>62</v>
      </c>
    </row>
    <row r="148" spans="1:10" x14ac:dyDescent="0.3">
      <c r="A148" s="20">
        <v>7</v>
      </c>
      <c r="B148" s="20" t="s">
        <v>94</v>
      </c>
      <c r="C148" s="20">
        <v>2</v>
      </c>
      <c r="D148" s="20" t="s">
        <v>64</v>
      </c>
      <c r="E148" s="21">
        <v>40.299999999999997</v>
      </c>
      <c r="F148" s="22">
        <v>0</v>
      </c>
      <c r="G148" s="23">
        <f t="shared" si="12"/>
        <v>40.299999999999997</v>
      </c>
      <c r="H148" s="23">
        <f t="shared" si="13"/>
        <v>40.299999999999997</v>
      </c>
      <c r="I148" s="23">
        <f t="shared" si="14"/>
        <v>0</v>
      </c>
      <c r="J148" s="20" t="s">
        <v>62</v>
      </c>
    </row>
    <row r="149" spans="1:10" x14ac:dyDescent="0.3">
      <c r="A149" s="20">
        <v>7</v>
      </c>
      <c r="B149" s="20" t="s">
        <v>94</v>
      </c>
      <c r="C149" s="20">
        <v>3</v>
      </c>
      <c r="D149" s="20" t="s">
        <v>65</v>
      </c>
      <c r="E149" s="21">
        <v>43.5</v>
      </c>
      <c r="F149" s="22">
        <v>0</v>
      </c>
      <c r="G149" s="23">
        <f t="shared" si="12"/>
        <v>43.5</v>
      </c>
      <c r="H149" s="23">
        <f t="shared" si="13"/>
        <v>43.5</v>
      </c>
      <c r="I149" s="23">
        <f t="shared" si="14"/>
        <v>0</v>
      </c>
      <c r="J149" s="20" t="s">
        <v>62</v>
      </c>
    </row>
    <row r="150" spans="1:10" x14ac:dyDescent="0.3">
      <c r="A150" s="20">
        <v>7</v>
      </c>
      <c r="B150" s="20" t="s">
        <v>94</v>
      </c>
      <c r="C150" s="20">
        <v>4</v>
      </c>
      <c r="D150" s="20" t="s">
        <v>66</v>
      </c>
      <c r="E150" s="21">
        <v>43</v>
      </c>
      <c r="F150" s="22">
        <v>0</v>
      </c>
      <c r="G150" s="23">
        <f t="shared" si="12"/>
        <v>43</v>
      </c>
      <c r="H150" s="23">
        <f t="shared" si="13"/>
        <v>43</v>
      </c>
      <c r="I150" s="23">
        <f t="shared" si="14"/>
        <v>0</v>
      </c>
      <c r="J150" s="20" t="s">
        <v>62</v>
      </c>
    </row>
    <row r="151" spans="1:10" x14ac:dyDescent="0.3">
      <c r="A151" s="20">
        <v>7</v>
      </c>
      <c r="B151" s="20" t="s">
        <v>94</v>
      </c>
      <c r="C151" s="20">
        <v>5</v>
      </c>
      <c r="D151" s="20" t="s">
        <v>67</v>
      </c>
      <c r="E151" s="21">
        <v>45.1</v>
      </c>
      <c r="F151" s="22">
        <v>0</v>
      </c>
      <c r="G151" s="23">
        <f t="shared" si="12"/>
        <v>45.1</v>
      </c>
      <c r="H151" s="23">
        <f t="shared" si="13"/>
        <v>45.1</v>
      </c>
      <c r="I151" s="23">
        <f t="shared" si="14"/>
        <v>0</v>
      </c>
      <c r="J151" s="20" t="s">
        <v>62</v>
      </c>
    </row>
    <row r="152" spans="1:10" x14ac:dyDescent="0.3">
      <c r="A152" s="20">
        <v>7</v>
      </c>
      <c r="B152" s="20" t="s">
        <v>94</v>
      </c>
      <c r="C152" s="20">
        <v>6</v>
      </c>
      <c r="D152" s="20" t="s">
        <v>68</v>
      </c>
      <c r="E152" s="21">
        <v>60.9</v>
      </c>
      <c r="F152" s="24">
        <v>28.4</v>
      </c>
      <c r="G152" s="23">
        <f t="shared" si="12"/>
        <v>32.5</v>
      </c>
      <c r="H152" s="23">
        <f t="shared" si="13"/>
        <v>32.5</v>
      </c>
      <c r="I152" s="23">
        <f t="shared" si="14"/>
        <v>0</v>
      </c>
      <c r="J152" s="20" t="s">
        <v>69</v>
      </c>
    </row>
    <row r="153" spans="1:10" x14ac:dyDescent="0.3">
      <c r="A153" s="20">
        <v>7</v>
      </c>
      <c r="B153" s="20" t="s">
        <v>94</v>
      </c>
      <c r="C153" s="20">
        <v>7</v>
      </c>
      <c r="D153" s="20" t="s">
        <v>70</v>
      </c>
      <c r="E153" s="21">
        <v>63.5</v>
      </c>
      <c r="F153" s="24">
        <v>39.799999999999997</v>
      </c>
      <c r="G153" s="23">
        <f t="shared" si="12"/>
        <v>23.700000000000003</v>
      </c>
      <c r="H153" s="23">
        <f t="shared" si="13"/>
        <v>23.700000000000003</v>
      </c>
      <c r="I153" s="23">
        <f t="shared" si="14"/>
        <v>0</v>
      </c>
      <c r="J153" s="20" t="s">
        <v>69</v>
      </c>
    </row>
    <row r="154" spans="1:10" x14ac:dyDescent="0.3">
      <c r="A154" s="20">
        <v>7</v>
      </c>
      <c r="B154" s="20" t="s">
        <v>94</v>
      </c>
      <c r="C154" s="20">
        <v>8</v>
      </c>
      <c r="D154" s="20" t="s">
        <v>71</v>
      </c>
      <c r="E154" s="21">
        <v>69.2</v>
      </c>
      <c r="F154" s="24">
        <v>67.099999999999994</v>
      </c>
      <c r="G154" s="23">
        <f t="shared" si="12"/>
        <v>2.1000000000000085</v>
      </c>
      <c r="H154" s="23">
        <f t="shared" si="13"/>
        <v>2.1000000000000085</v>
      </c>
      <c r="I154" s="23">
        <f t="shared" si="14"/>
        <v>0</v>
      </c>
      <c r="J154" s="20" t="s">
        <v>69</v>
      </c>
    </row>
    <row r="155" spans="1:10" x14ac:dyDescent="0.3">
      <c r="A155" s="20">
        <v>7</v>
      </c>
      <c r="B155" s="20" t="s">
        <v>94</v>
      </c>
      <c r="C155" s="20">
        <v>9</v>
      </c>
      <c r="D155" s="20" t="s">
        <v>72</v>
      </c>
      <c r="E155" s="21">
        <v>68.8</v>
      </c>
      <c r="F155" s="24">
        <v>89.4</v>
      </c>
      <c r="G155" s="23">
        <f t="shared" si="12"/>
        <v>-20.600000000000009</v>
      </c>
      <c r="H155" s="23">
        <f t="shared" si="13"/>
        <v>0</v>
      </c>
      <c r="I155" s="23">
        <f t="shared" si="14"/>
        <v>20.600000000000009</v>
      </c>
      <c r="J155" s="20" t="s">
        <v>74</v>
      </c>
    </row>
    <row r="156" spans="1:10" x14ac:dyDescent="0.3">
      <c r="A156" s="20">
        <v>7</v>
      </c>
      <c r="B156" s="20" t="s">
        <v>94</v>
      </c>
      <c r="C156" s="20">
        <v>10</v>
      </c>
      <c r="D156" s="20" t="s">
        <v>73</v>
      </c>
      <c r="E156" s="21">
        <v>73.3</v>
      </c>
      <c r="F156" s="24">
        <v>116</v>
      </c>
      <c r="G156" s="23">
        <f t="shared" si="12"/>
        <v>-42.7</v>
      </c>
      <c r="H156" s="23">
        <f t="shared" si="13"/>
        <v>0</v>
      </c>
      <c r="I156" s="23">
        <f t="shared" si="14"/>
        <v>42.7</v>
      </c>
      <c r="J156" s="20" t="s">
        <v>74</v>
      </c>
    </row>
    <row r="157" spans="1:10" x14ac:dyDescent="0.3">
      <c r="A157" s="20">
        <v>7</v>
      </c>
      <c r="B157" s="20" t="s">
        <v>94</v>
      </c>
      <c r="C157" s="20">
        <v>11</v>
      </c>
      <c r="D157" s="20" t="s">
        <v>75</v>
      </c>
      <c r="E157" s="21">
        <v>71</v>
      </c>
      <c r="F157" s="24">
        <v>137.6</v>
      </c>
      <c r="G157" s="23">
        <f t="shared" si="12"/>
        <v>-66.599999999999994</v>
      </c>
      <c r="H157" s="23">
        <f t="shared" si="13"/>
        <v>0</v>
      </c>
      <c r="I157" s="23">
        <f t="shared" si="14"/>
        <v>66.599999999999994</v>
      </c>
      <c r="J157" s="20" t="s">
        <v>74</v>
      </c>
    </row>
    <row r="158" spans="1:10" x14ac:dyDescent="0.3">
      <c r="A158" s="20">
        <v>7</v>
      </c>
      <c r="B158" s="20" t="s">
        <v>94</v>
      </c>
      <c r="C158" s="20">
        <v>12</v>
      </c>
      <c r="D158" s="20" t="s">
        <v>76</v>
      </c>
      <c r="E158" s="21">
        <v>68.2</v>
      </c>
      <c r="F158" s="24">
        <v>144.19999999999999</v>
      </c>
      <c r="G158" s="23">
        <f t="shared" si="12"/>
        <v>-75.999999999999986</v>
      </c>
      <c r="H158" s="23">
        <f t="shared" si="13"/>
        <v>0</v>
      </c>
      <c r="I158" s="23">
        <f t="shared" si="14"/>
        <v>75.999999999999986</v>
      </c>
      <c r="J158" s="20" t="s">
        <v>77</v>
      </c>
    </row>
    <row r="159" spans="1:10" x14ac:dyDescent="0.3">
      <c r="A159" s="20">
        <v>7</v>
      </c>
      <c r="B159" s="20" t="s">
        <v>94</v>
      </c>
      <c r="C159" s="20">
        <v>13</v>
      </c>
      <c r="D159" s="20" t="s">
        <v>78</v>
      </c>
      <c r="E159" s="21">
        <v>66.2</v>
      </c>
      <c r="F159" s="24">
        <v>140.19999999999999</v>
      </c>
      <c r="G159" s="23">
        <f t="shared" si="12"/>
        <v>-73.999999999999986</v>
      </c>
      <c r="H159" s="23">
        <f t="shared" si="13"/>
        <v>0</v>
      </c>
      <c r="I159" s="23">
        <f t="shared" si="14"/>
        <v>73.999999999999986</v>
      </c>
      <c r="J159" s="20" t="s">
        <v>74</v>
      </c>
    </row>
    <row r="160" spans="1:10" x14ac:dyDescent="0.3">
      <c r="A160" s="20">
        <v>7</v>
      </c>
      <c r="B160" s="20" t="s">
        <v>94</v>
      </c>
      <c r="C160" s="20">
        <v>14</v>
      </c>
      <c r="D160" s="20" t="s">
        <v>79</v>
      </c>
      <c r="E160" s="21">
        <v>41.2</v>
      </c>
      <c r="F160" s="24">
        <v>119.8</v>
      </c>
      <c r="G160" s="23">
        <f t="shared" si="12"/>
        <v>-78.599999999999994</v>
      </c>
      <c r="H160" s="23">
        <f t="shared" si="13"/>
        <v>0</v>
      </c>
      <c r="I160" s="23">
        <f t="shared" si="14"/>
        <v>78.599999999999994</v>
      </c>
      <c r="J160" s="20" t="s">
        <v>74</v>
      </c>
    </row>
    <row r="161" spans="1:10" x14ac:dyDescent="0.3">
      <c r="A161" s="20">
        <v>7</v>
      </c>
      <c r="B161" s="20" t="s">
        <v>94</v>
      </c>
      <c r="C161" s="20">
        <v>15</v>
      </c>
      <c r="D161" s="20" t="s">
        <v>80</v>
      </c>
      <c r="E161" s="21">
        <v>41.4</v>
      </c>
      <c r="F161" s="24">
        <v>91.6</v>
      </c>
      <c r="G161" s="23">
        <f t="shared" si="12"/>
        <v>-50.199999999999996</v>
      </c>
      <c r="H161" s="23">
        <f t="shared" si="13"/>
        <v>0</v>
      </c>
      <c r="I161" s="23">
        <f t="shared" si="14"/>
        <v>50.199999999999996</v>
      </c>
      <c r="J161" s="20" t="s">
        <v>74</v>
      </c>
    </row>
    <row r="162" spans="1:10" x14ac:dyDescent="0.3">
      <c r="A162" s="20">
        <v>7</v>
      </c>
      <c r="B162" s="20" t="s">
        <v>94</v>
      </c>
      <c r="C162" s="20">
        <v>16</v>
      </c>
      <c r="D162" s="20" t="s">
        <v>81</v>
      </c>
      <c r="E162" s="21">
        <v>44</v>
      </c>
      <c r="F162" s="24">
        <v>64.099999999999994</v>
      </c>
      <c r="G162" s="23">
        <f t="shared" ref="G162:G193" si="15">E162-F162</f>
        <v>-20.099999999999994</v>
      </c>
      <c r="H162" s="23">
        <f t="shared" ref="H162:H193" si="16">MAX(G162,0)</f>
        <v>0</v>
      </c>
      <c r="I162" s="23">
        <f t="shared" ref="I162:I169" si="17">MAX(-G162,0)</f>
        <v>20.099999999999994</v>
      </c>
      <c r="J162" s="20" t="s">
        <v>74</v>
      </c>
    </row>
    <row r="163" spans="1:10" x14ac:dyDescent="0.3">
      <c r="A163" s="20">
        <v>7</v>
      </c>
      <c r="B163" s="20" t="s">
        <v>94</v>
      </c>
      <c r="C163" s="20">
        <v>17</v>
      </c>
      <c r="D163" s="20" t="s">
        <v>82</v>
      </c>
      <c r="E163" s="21">
        <v>41.9</v>
      </c>
      <c r="F163" s="24">
        <v>44.4</v>
      </c>
      <c r="G163" s="23">
        <f t="shared" si="15"/>
        <v>-2.5</v>
      </c>
      <c r="H163" s="23">
        <f t="shared" si="16"/>
        <v>0</v>
      </c>
      <c r="I163" s="23">
        <f t="shared" si="17"/>
        <v>2.5</v>
      </c>
      <c r="J163" s="20" t="s">
        <v>74</v>
      </c>
    </row>
    <row r="164" spans="1:10" x14ac:dyDescent="0.3">
      <c r="A164" s="20">
        <v>7</v>
      </c>
      <c r="B164" s="20" t="s">
        <v>94</v>
      </c>
      <c r="C164" s="20">
        <v>18</v>
      </c>
      <c r="D164" s="20" t="s">
        <v>83</v>
      </c>
      <c r="E164" s="21">
        <v>40.4</v>
      </c>
      <c r="F164" s="24">
        <v>24.4</v>
      </c>
      <c r="G164" s="23">
        <f t="shared" si="15"/>
        <v>16</v>
      </c>
      <c r="H164" s="23">
        <f t="shared" si="16"/>
        <v>16</v>
      </c>
      <c r="I164" s="23">
        <f t="shared" si="17"/>
        <v>0</v>
      </c>
      <c r="J164" s="20" t="s">
        <v>69</v>
      </c>
    </row>
    <row r="165" spans="1:10" x14ac:dyDescent="0.3">
      <c r="A165" s="20">
        <v>7</v>
      </c>
      <c r="B165" s="20" t="s">
        <v>94</v>
      </c>
      <c r="C165" s="20">
        <v>19</v>
      </c>
      <c r="D165" s="20" t="s">
        <v>84</v>
      </c>
      <c r="E165" s="21">
        <v>46</v>
      </c>
      <c r="F165" s="22">
        <v>0</v>
      </c>
      <c r="G165" s="23">
        <f t="shared" si="15"/>
        <v>46</v>
      </c>
      <c r="H165" s="23">
        <f t="shared" si="16"/>
        <v>46</v>
      </c>
      <c r="I165" s="23">
        <f t="shared" si="17"/>
        <v>0</v>
      </c>
      <c r="J165" s="20" t="s">
        <v>69</v>
      </c>
    </row>
    <row r="166" spans="1:10" x14ac:dyDescent="0.3">
      <c r="A166" s="20">
        <v>7</v>
      </c>
      <c r="B166" s="20" t="s">
        <v>94</v>
      </c>
      <c r="C166" s="20">
        <v>20</v>
      </c>
      <c r="D166" s="20" t="s">
        <v>85</v>
      </c>
      <c r="E166" s="21">
        <v>46</v>
      </c>
      <c r="F166" s="22">
        <v>0</v>
      </c>
      <c r="G166" s="23">
        <f t="shared" si="15"/>
        <v>46</v>
      </c>
      <c r="H166" s="23">
        <f t="shared" si="16"/>
        <v>46</v>
      </c>
      <c r="I166" s="23">
        <f t="shared" si="17"/>
        <v>0</v>
      </c>
      <c r="J166" s="20" t="s">
        <v>69</v>
      </c>
    </row>
    <row r="167" spans="1:10" x14ac:dyDescent="0.3">
      <c r="A167" s="20">
        <v>7</v>
      </c>
      <c r="B167" s="20" t="s">
        <v>94</v>
      </c>
      <c r="C167" s="20">
        <v>21</v>
      </c>
      <c r="D167" s="20" t="s">
        <v>86</v>
      </c>
      <c r="E167" s="21">
        <v>40.4</v>
      </c>
      <c r="F167" s="22">
        <v>0</v>
      </c>
      <c r="G167" s="23">
        <f t="shared" si="15"/>
        <v>40.4</v>
      </c>
      <c r="H167" s="23">
        <f t="shared" si="16"/>
        <v>40.4</v>
      </c>
      <c r="I167" s="23">
        <f t="shared" si="17"/>
        <v>0</v>
      </c>
      <c r="J167" s="20" t="s">
        <v>69</v>
      </c>
    </row>
    <row r="168" spans="1:10" x14ac:dyDescent="0.3">
      <c r="A168" s="20">
        <v>7</v>
      </c>
      <c r="B168" s="20" t="s">
        <v>94</v>
      </c>
      <c r="C168" s="20">
        <v>22</v>
      </c>
      <c r="D168" s="20" t="s">
        <v>87</v>
      </c>
      <c r="E168" s="21">
        <v>41.3</v>
      </c>
      <c r="F168" s="22">
        <v>0</v>
      </c>
      <c r="G168" s="23">
        <f t="shared" si="15"/>
        <v>41.3</v>
      </c>
      <c r="H168" s="23">
        <f t="shared" si="16"/>
        <v>41.3</v>
      </c>
      <c r="I168" s="23">
        <f t="shared" si="17"/>
        <v>0</v>
      </c>
      <c r="J168" s="20" t="s">
        <v>62</v>
      </c>
    </row>
    <row r="169" spans="1:10" x14ac:dyDescent="0.3">
      <c r="A169" s="20">
        <v>7</v>
      </c>
      <c r="B169" s="20" t="s">
        <v>94</v>
      </c>
      <c r="C169" s="20">
        <v>23</v>
      </c>
      <c r="D169" s="20" t="s">
        <v>88</v>
      </c>
      <c r="E169" s="21">
        <v>41.6</v>
      </c>
      <c r="F169" s="22">
        <v>0</v>
      </c>
      <c r="G169" s="23">
        <f t="shared" si="15"/>
        <v>41.6</v>
      </c>
      <c r="H169" s="23">
        <f t="shared" si="16"/>
        <v>41.6</v>
      </c>
      <c r="I169" s="23">
        <f t="shared" si="17"/>
        <v>0</v>
      </c>
      <c r="J169" s="20" t="s">
        <v>62</v>
      </c>
    </row>
  </sheetData>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4"/>
  <sheetViews>
    <sheetView showGridLines="0" zoomScaleNormal="100" workbookViewId="0"/>
  </sheetViews>
  <sheetFormatPr defaultColWidth="8.6640625" defaultRowHeight="14.4" x14ac:dyDescent="0.3"/>
  <cols>
    <col min="1" max="1" width="7" customWidth="1"/>
    <col min="2" max="2" width="6" customWidth="1"/>
    <col min="3" max="3" width="14" customWidth="1"/>
    <col min="4" max="4" width="12" customWidth="1"/>
    <col min="5" max="5" width="13" customWidth="1"/>
    <col min="6" max="6" width="12" customWidth="1"/>
    <col min="7" max="7" width="14" customWidth="1"/>
    <col min="8" max="9" width="13" customWidth="1"/>
    <col min="10" max="10" width="14" customWidth="1"/>
    <col min="11" max="11" width="13" customWidth="1"/>
    <col min="12" max="12" width="10" customWidth="1"/>
    <col min="13" max="13" width="12" customWidth="1"/>
    <col min="14" max="14" width="14" customWidth="1"/>
    <col min="15" max="15" width="28" customWidth="1"/>
  </cols>
  <sheetData>
    <row r="1" spans="1:15" ht="27.75" customHeight="1" x14ac:dyDescent="0.3">
      <c r="A1" s="25" t="s">
        <v>95</v>
      </c>
      <c r="B1" s="25" t="s">
        <v>96</v>
      </c>
      <c r="C1" s="25" t="s">
        <v>97</v>
      </c>
      <c r="D1" s="25" t="s">
        <v>98</v>
      </c>
      <c r="E1" s="25" t="s">
        <v>99</v>
      </c>
      <c r="F1" s="25" t="s">
        <v>100</v>
      </c>
      <c r="G1" s="25" t="s">
        <v>101</v>
      </c>
      <c r="H1" s="25" t="s">
        <v>102</v>
      </c>
      <c r="I1" s="25" t="s">
        <v>103</v>
      </c>
      <c r="J1" s="25" t="s">
        <v>104</v>
      </c>
      <c r="K1" s="25" t="s">
        <v>105</v>
      </c>
      <c r="L1" s="25" t="s">
        <v>106</v>
      </c>
      <c r="M1" s="25" t="s">
        <v>107</v>
      </c>
      <c r="N1" s="25" t="s">
        <v>108</v>
      </c>
      <c r="O1" s="25" t="s">
        <v>59</v>
      </c>
    </row>
    <row r="2" spans="1:15" ht="15" customHeight="1" x14ac:dyDescent="0.3">
      <c r="A2" s="26" t="s">
        <v>109</v>
      </c>
      <c r="B2" s="18">
        <v>31</v>
      </c>
      <c r="C2" s="27">
        <v>68200</v>
      </c>
      <c r="D2" s="27">
        <v>49104</v>
      </c>
      <c r="E2" s="27">
        <v>19096</v>
      </c>
      <c r="F2" s="27">
        <v>7800</v>
      </c>
      <c r="G2" s="27">
        <v>5070</v>
      </c>
      <c r="H2" s="27">
        <f t="shared" ref="H2:H13" si="0">C2-G2</f>
        <v>63130</v>
      </c>
      <c r="I2" s="27">
        <v>98</v>
      </c>
      <c r="J2" s="27">
        <v>1489215</v>
      </c>
      <c r="K2" s="27">
        <v>83300</v>
      </c>
      <c r="L2" s="27">
        <v>2200</v>
      </c>
      <c r="M2" s="27">
        <v>162400</v>
      </c>
      <c r="N2" s="27">
        <f t="shared" ref="N2:N13" si="1">J2+K2+L2+M2</f>
        <v>1737115</v>
      </c>
      <c r="O2" s="18" t="s">
        <v>110</v>
      </c>
    </row>
    <row r="3" spans="1:15" ht="15" customHeight="1" x14ac:dyDescent="0.3">
      <c r="A3" s="28" t="s">
        <v>111</v>
      </c>
      <c r="B3" s="23">
        <v>28</v>
      </c>
      <c r="C3" s="29">
        <v>62100</v>
      </c>
      <c r="D3" s="29">
        <v>45333</v>
      </c>
      <c r="E3" s="29">
        <v>16767</v>
      </c>
      <c r="F3" s="29">
        <v>7200</v>
      </c>
      <c r="G3" s="29">
        <v>4680</v>
      </c>
      <c r="H3" s="29">
        <f t="shared" si="0"/>
        <v>57420</v>
      </c>
      <c r="I3" s="29">
        <v>95</v>
      </c>
      <c r="J3" s="29">
        <v>1363033</v>
      </c>
      <c r="K3" s="29">
        <v>80750</v>
      </c>
      <c r="L3" s="29">
        <v>2200</v>
      </c>
      <c r="M3" s="29">
        <v>116000</v>
      </c>
      <c r="N3" s="29">
        <f t="shared" si="1"/>
        <v>1561983</v>
      </c>
      <c r="O3" s="23" t="s">
        <v>112</v>
      </c>
    </row>
    <row r="4" spans="1:15" ht="15" customHeight="1" x14ac:dyDescent="0.3">
      <c r="A4" s="26" t="s">
        <v>113</v>
      </c>
      <c r="B4" s="18">
        <v>31</v>
      </c>
      <c r="C4" s="27">
        <v>71400</v>
      </c>
      <c r="D4" s="27">
        <v>49980</v>
      </c>
      <c r="E4" s="27">
        <v>21420</v>
      </c>
      <c r="F4" s="27">
        <v>5800</v>
      </c>
      <c r="G4" s="27">
        <v>3770</v>
      </c>
      <c r="H4" s="27">
        <f t="shared" si="0"/>
        <v>67630</v>
      </c>
      <c r="I4" s="27">
        <v>100</v>
      </c>
      <c r="J4" s="27">
        <v>1542954</v>
      </c>
      <c r="K4" s="27">
        <v>85000</v>
      </c>
      <c r="L4" s="27">
        <v>2200</v>
      </c>
      <c r="M4" s="27">
        <v>255200</v>
      </c>
      <c r="N4" s="27">
        <f t="shared" si="1"/>
        <v>1885354</v>
      </c>
      <c r="O4" s="18" t="s">
        <v>114</v>
      </c>
    </row>
    <row r="5" spans="1:15" ht="15" customHeight="1" x14ac:dyDescent="0.3">
      <c r="A5" s="28" t="s">
        <v>115</v>
      </c>
      <c r="B5" s="23">
        <v>30</v>
      </c>
      <c r="C5" s="29">
        <v>70800</v>
      </c>
      <c r="D5" s="29">
        <v>48144</v>
      </c>
      <c r="E5" s="29">
        <v>22656</v>
      </c>
      <c r="F5" s="29">
        <v>4900</v>
      </c>
      <c r="G5" s="29">
        <v>3185</v>
      </c>
      <c r="H5" s="29">
        <f t="shared" si="0"/>
        <v>67615</v>
      </c>
      <c r="I5" s="29">
        <v>102</v>
      </c>
      <c r="J5" s="29">
        <v>1513987</v>
      </c>
      <c r="K5" s="29">
        <v>86700</v>
      </c>
      <c r="L5" s="29">
        <v>2200</v>
      </c>
      <c r="M5" s="29">
        <v>440800</v>
      </c>
      <c r="N5" s="29">
        <f t="shared" si="1"/>
        <v>2043687</v>
      </c>
      <c r="O5" s="23" t="s">
        <v>116</v>
      </c>
    </row>
    <row r="6" spans="1:15" ht="15" customHeight="1" x14ac:dyDescent="0.3">
      <c r="A6" s="26" t="s">
        <v>117</v>
      </c>
      <c r="B6" s="18">
        <v>31</v>
      </c>
      <c r="C6" s="27">
        <v>69500</v>
      </c>
      <c r="D6" s="27">
        <v>47955</v>
      </c>
      <c r="E6" s="27">
        <v>21545</v>
      </c>
      <c r="F6" s="27">
        <v>5200</v>
      </c>
      <c r="G6" s="27">
        <v>3380</v>
      </c>
      <c r="H6" s="27">
        <f t="shared" si="0"/>
        <v>66120</v>
      </c>
      <c r="I6" s="27">
        <v>99</v>
      </c>
      <c r="J6" s="27">
        <v>1494041</v>
      </c>
      <c r="K6" s="27">
        <v>84150</v>
      </c>
      <c r="L6" s="27">
        <v>2200</v>
      </c>
      <c r="M6" s="27">
        <v>359600</v>
      </c>
      <c r="N6" s="27">
        <f t="shared" si="1"/>
        <v>1939991</v>
      </c>
      <c r="O6" s="18" t="s">
        <v>118</v>
      </c>
    </row>
    <row r="7" spans="1:15" ht="15" customHeight="1" x14ac:dyDescent="0.3">
      <c r="A7" s="28" t="s">
        <v>119</v>
      </c>
      <c r="B7" s="23">
        <v>30</v>
      </c>
      <c r="C7" s="29">
        <v>65300</v>
      </c>
      <c r="D7" s="29">
        <v>46363</v>
      </c>
      <c r="E7" s="29">
        <v>18937</v>
      </c>
      <c r="F7" s="29">
        <v>6400</v>
      </c>
      <c r="G7" s="29">
        <v>4160</v>
      </c>
      <c r="H7" s="29">
        <f t="shared" si="0"/>
        <v>61140</v>
      </c>
      <c r="I7" s="29">
        <v>96</v>
      </c>
      <c r="J7" s="29">
        <v>1418512</v>
      </c>
      <c r="K7" s="29">
        <v>81600</v>
      </c>
      <c r="L7" s="29">
        <v>2200</v>
      </c>
      <c r="M7" s="29">
        <v>139200</v>
      </c>
      <c r="N7" s="29">
        <f t="shared" si="1"/>
        <v>1641512</v>
      </c>
      <c r="O7" s="23" t="s">
        <v>120</v>
      </c>
    </row>
    <row r="8" spans="1:15" ht="15" customHeight="1" x14ac:dyDescent="0.3">
      <c r="A8" s="26" t="s">
        <v>121</v>
      </c>
      <c r="B8" s="18">
        <v>31</v>
      </c>
      <c r="C8" s="27">
        <v>66800</v>
      </c>
      <c r="D8" s="27">
        <v>48096</v>
      </c>
      <c r="E8" s="27">
        <v>18704</v>
      </c>
      <c r="F8" s="27">
        <v>6600</v>
      </c>
      <c r="G8" s="27">
        <v>4290</v>
      </c>
      <c r="H8" s="27">
        <f t="shared" si="0"/>
        <v>62510</v>
      </c>
      <c r="I8" s="27">
        <v>97</v>
      </c>
      <c r="J8" s="27">
        <v>1458645</v>
      </c>
      <c r="K8" s="27">
        <v>82450</v>
      </c>
      <c r="L8" s="27">
        <v>2200</v>
      </c>
      <c r="M8" s="27">
        <v>127600</v>
      </c>
      <c r="N8" s="27">
        <f t="shared" si="1"/>
        <v>1670895</v>
      </c>
      <c r="O8" s="18" t="s">
        <v>122</v>
      </c>
    </row>
    <row r="9" spans="1:15" ht="15" customHeight="1" x14ac:dyDescent="0.3">
      <c r="A9" s="28" t="s">
        <v>123</v>
      </c>
      <c r="B9" s="23">
        <v>31</v>
      </c>
      <c r="C9" s="29">
        <v>67200</v>
      </c>
      <c r="D9" s="29">
        <v>48384</v>
      </c>
      <c r="E9" s="29">
        <v>18816</v>
      </c>
      <c r="F9" s="29">
        <v>6900</v>
      </c>
      <c r="G9" s="29">
        <v>4485</v>
      </c>
      <c r="H9" s="29">
        <f t="shared" si="0"/>
        <v>62715</v>
      </c>
      <c r="I9" s="29">
        <v>97</v>
      </c>
      <c r="J9" s="29">
        <v>1467379</v>
      </c>
      <c r="K9" s="29">
        <v>82450</v>
      </c>
      <c r="L9" s="29">
        <v>2200</v>
      </c>
      <c r="M9" s="29">
        <v>104400</v>
      </c>
      <c r="N9" s="29">
        <f t="shared" si="1"/>
        <v>1656429</v>
      </c>
      <c r="O9" s="23" t="s">
        <v>112</v>
      </c>
    </row>
    <row r="10" spans="1:15" ht="15" customHeight="1" x14ac:dyDescent="0.3">
      <c r="A10" s="26" t="s">
        <v>124</v>
      </c>
      <c r="B10" s="18">
        <v>30</v>
      </c>
      <c r="C10" s="27">
        <v>68400</v>
      </c>
      <c r="D10" s="27">
        <v>49932</v>
      </c>
      <c r="E10" s="27">
        <v>18468</v>
      </c>
      <c r="F10" s="27">
        <v>7400</v>
      </c>
      <c r="G10" s="27">
        <v>4810</v>
      </c>
      <c r="H10" s="27">
        <f t="shared" si="0"/>
        <v>63590</v>
      </c>
      <c r="I10" s="27">
        <v>98</v>
      </c>
      <c r="J10" s="27">
        <v>1501312</v>
      </c>
      <c r="K10" s="27">
        <v>83300</v>
      </c>
      <c r="L10" s="27">
        <v>2200</v>
      </c>
      <c r="M10" s="27">
        <v>92800</v>
      </c>
      <c r="N10" s="27">
        <f t="shared" si="1"/>
        <v>1679612</v>
      </c>
      <c r="O10" s="18" t="s">
        <v>125</v>
      </c>
    </row>
    <row r="11" spans="1:15" ht="15" customHeight="1" x14ac:dyDescent="0.3">
      <c r="A11" s="28" t="s">
        <v>126</v>
      </c>
      <c r="B11" s="23">
        <v>31</v>
      </c>
      <c r="C11" s="29">
        <v>72100</v>
      </c>
      <c r="D11" s="29">
        <v>50470</v>
      </c>
      <c r="E11" s="29">
        <v>21630</v>
      </c>
      <c r="F11" s="29">
        <v>5600</v>
      </c>
      <c r="G11" s="29">
        <v>3640</v>
      </c>
      <c r="H11" s="29">
        <f t="shared" si="0"/>
        <v>68460</v>
      </c>
      <c r="I11" s="29">
        <v>103</v>
      </c>
      <c r="J11" s="29">
        <v>1558081</v>
      </c>
      <c r="K11" s="29">
        <v>87550</v>
      </c>
      <c r="L11" s="29">
        <v>2200</v>
      </c>
      <c r="M11" s="29">
        <v>324800</v>
      </c>
      <c r="N11" s="29">
        <f t="shared" si="1"/>
        <v>1972631</v>
      </c>
      <c r="O11" s="23" t="s">
        <v>127</v>
      </c>
    </row>
    <row r="12" spans="1:15" ht="15" customHeight="1" x14ac:dyDescent="0.3">
      <c r="A12" s="26" t="s">
        <v>128</v>
      </c>
      <c r="B12" s="18">
        <v>30</v>
      </c>
      <c r="C12" s="27">
        <v>71600</v>
      </c>
      <c r="D12" s="27">
        <v>49404</v>
      </c>
      <c r="E12" s="27">
        <v>22196</v>
      </c>
      <c r="F12" s="27">
        <v>4800</v>
      </c>
      <c r="G12" s="27">
        <v>3120</v>
      </c>
      <c r="H12" s="27">
        <f t="shared" si="0"/>
        <v>68480</v>
      </c>
      <c r="I12" s="27">
        <v>104</v>
      </c>
      <c r="J12" s="27">
        <v>1539185</v>
      </c>
      <c r="K12" s="27">
        <v>88400</v>
      </c>
      <c r="L12" s="27">
        <v>2200</v>
      </c>
      <c r="M12" s="27">
        <v>406000</v>
      </c>
      <c r="N12" s="27">
        <f t="shared" si="1"/>
        <v>2035785</v>
      </c>
      <c r="O12" s="18" t="s">
        <v>129</v>
      </c>
    </row>
    <row r="13" spans="1:15" ht="15" customHeight="1" x14ac:dyDescent="0.3">
      <c r="A13" s="28" t="s">
        <v>130</v>
      </c>
      <c r="B13" s="23">
        <v>31</v>
      </c>
      <c r="C13" s="29">
        <v>67900</v>
      </c>
      <c r="D13" s="29">
        <v>48209</v>
      </c>
      <c r="E13" s="29">
        <v>19691</v>
      </c>
      <c r="F13" s="29">
        <v>6800</v>
      </c>
      <c r="G13" s="29">
        <v>4420</v>
      </c>
      <c r="H13" s="29">
        <f t="shared" si="0"/>
        <v>63480</v>
      </c>
      <c r="I13" s="29">
        <v>96</v>
      </c>
      <c r="J13" s="29">
        <v>1474992</v>
      </c>
      <c r="K13" s="29">
        <v>81600</v>
      </c>
      <c r="L13" s="29">
        <v>2200</v>
      </c>
      <c r="M13" s="29">
        <v>174000</v>
      </c>
      <c r="N13" s="29">
        <f t="shared" si="1"/>
        <v>1732792</v>
      </c>
      <c r="O13" s="23" t="s">
        <v>131</v>
      </c>
    </row>
    <row r="14" spans="1:15" ht="15.75" customHeight="1" x14ac:dyDescent="0.3">
      <c r="A14" s="30" t="s">
        <v>132</v>
      </c>
      <c r="B14" s="30"/>
      <c r="C14" s="31">
        <f t="shared" ref="C14:H14" si="2">SUM(C2:C13)</f>
        <v>821300</v>
      </c>
      <c r="D14" s="31">
        <f t="shared" si="2"/>
        <v>581374</v>
      </c>
      <c r="E14" s="31">
        <f t="shared" si="2"/>
        <v>239926</v>
      </c>
      <c r="F14" s="31">
        <f t="shared" si="2"/>
        <v>75400</v>
      </c>
      <c r="G14" s="31">
        <f t="shared" si="2"/>
        <v>49010</v>
      </c>
      <c r="H14" s="31">
        <f t="shared" si="2"/>
        <v>772290</v>
      </c>
      <c r="I14" s="31">
        <f>AVERAGE(I2:I13)</f>
        <v>98.75</v>
      </c>
      <c r="J14" s="31">
        <f>SUM(J2:J13)</f>
        <v>17821336</v>
      </c>
      <c r="K14" s="31">
        <f>SUM(K2:K13)</f>
        <v>1007250</v>
      </c>
      <c r="L14" s="31">
        <f>SUM(L2:L13)</f>
        <v>26400</v>
      </c>
      <c r="M14" s="31">
        <f>SUM(M2:M13)</f>
        <v>2702800</v>
      </c>
      <c r="N14" s="31">
        <f>SUM(N2:N13)</f>
        <v>21557786</v>
      </c>
      <c r="O14" s="30"/>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7"/>
  <sheetViews>
    <sheetView showGridLines="0" zoomScaleNormal="100" workbookViewId="0">
      <selection sqref="A1:F1"/>
    </sheetView>
  </sheetViews>
  <sheetFormatPr defaultColWidth="8.6640625" defaultRowHeight="14.4" x14ac:dyDescent="0.3"/>
  <cols>
    <col min="1" max="1" width="34" customWidth="1"/>
    <col min="2" max="2" width="12" customWidth="1"/>
    <col min="3" max="3" width="8" customWidth="1"/>
    <col min="4" max="6" width="14" customWidth="1"/>
  </cols>
  <sheetData>
    <row r="1" spans="1:6" ht="15.75" customHeight="1" x14ac:dyDescent="0.3">
      <c r="A1" s="8" t="s">
        <v>133</v>
      </c>
      <c r="B1" s="8"/>
      <c r="C1" s="8"/>
      <c r="D1" s="8"/>
      <c r="E1" s="8"/>
      <c r="F1" s="8"/>
    </row>
    <row r="2" spans="1:6" ht="15.75" customHeight="1" x14ac:dyDescent="0.3">
      <c r="A2" s="8" t="s">
        <v>134</v>
      </c>
      <c r="B2" s="8"/>
      <c r="C2" s="8"/>
      <c r="D2" s="8"/>
      <c r="E2" s="8"/>
      <c r="F2" s="8"/>
    </row>
    <row r="3" spans="1:6" ht="15.75" customHeight="1" x14ac:dyDescent="0.3">
      <c r="A3" s="8" t="s">
        <v>134</v>
      </c>
      <c r="B3" s="8"/>
      <c r="C3" s="8"/>
      <c r="D3" s="8"/>
      <c r="E3" s="8"/>
      <c r="F3" s="8"/>
    </row>
    <row r="4" spans="1:6" ht="15" customHeight="1" x14ac:dyDescent="0.3">
      <c r="A4" s="32" t="s">
        <v>135</v>
      </c>
      <c r="B4" s="33">
        <v>68900</v>
      </c>
      <c r="C4" s="34" t="s">
        <v>136</v>
      </c>
      <c r="D4" s="5" t="s">
        <v>137</v>
      </c>
      <c r="E4" s="5"/>
      <c r="F4" s="5"/>
    </row>
    <row r="5" spans="1:6" ht="15" customHeight="1" x14ac:dyDescent="0.3">
      <c r="A5" s="32" t="s">
        <v>138</v>
      </c>
      <c r="B5" s="33">
        <v>0.71</v>
      </c>
      <c r="C5" s="34" t="s">
        <v>139</v>
      </c>
      <c r="D5" s="5" t="s">
        <v>140</v>
      </c>
      <c r="E5" s="5"/>
      <c r="F5" s="5"/>
    </row>
    <row r="6" spans="1:6" ht="15" customHeight="1" x14ac:dyDescent="0.3">
      <c r="A6" s="32" t="s">
        <v>141</v>
      </c>
      <c r="B6" s="33">
        <v>110</v>
      </c>
      <c r="C6" s="34" t="s">
        <v>142</v>
      </c>
      <c r="D6" s="5" t="s">
        <v>143</v>
      </c>
      <c r="E6" s="5"/>
      <c r="F6" s="5"/>
    </row>
    <row r="7" spans="1:6" ht="15" customHeight="1" x14ac:dyDescent="0.3">
      <c r="A7" s="32" t="s">
        <v>144</v>
      </c>
      <c r="B7" s="33">
        <v>100</v>
      </c>
      <c r="C7" s="34" t="s">
        <v>142</v>
      </c>
      <c r="D7" s="5" t="s">
        <v>145</v>
      </c>
      <c r="E7" s="5"/>
      <c r="F7" s="5"/>
    </row>
    <row r="8" spans="1:6" ht="15" customHeight="1" x14ac:dyDescent="0.3">
      <c r="A8" s="32" t="s">
        <v>146</v>
      </c>
      <c r="B8" s="33">
        <v>25</v>
      </c>
      <c r="C8" s="34" t="s">
        <v>147</v>
      </c>
      <c r="D8" s="5" t="s">
        <v>148</v>
      </c>
      <c r="E8" s="5"/>
      <c r="F8" s="5"/>
    </row>
    <row r="9" spans="1:6" ht="15" customHeight="1" x14ac:dyDescent="0.3">
      <c r="A9" s="32" t="s">
        <v>149</v>
      </c>
      <c r="B9" s="33">
        <v>13.7</v>
      </c>
      <c r="C9" s="34" t="s">
        <v>147</v>
      </c>
      <c r="D9" s="5" t="s">
        <v>150</v>
      </c>
      <c r="E9" s="5"/>
      <c r="F9" s="5"/>
    </row>
    <row r="10" spans="1:6" ht="15" customHeight="1" x14ac:dyDescent="0.3">
      <c r="A10" s="32" t="s">
        <v>151</v>
      </c>
      <c r="B10" s="33">
        <v>850</v>
      </c>
      <c r="C10" s="34" t="s">
        <v>147</v>
      </c>
      <c r="D10" s="5" t="s">
        <v>152</v>
      </c>
      <c r="E10" s="5"/>
      <c r="F10" s="5"/>
    </row>
    <row r="11" spans="1:6" ht="15" customHeight="1" x14ac:dyDescent="0.3">
      <c r="A11" s="32" t="s">
        <v>153</v>
      </c>
      <c r="B11" s="33">
        <v>16</v>
      </c>
      <c r="C11" s="34" t="s">
        <v>11</v>
      </c>
      <c r="D11" s="5" t="s">
        <v>154</v>
      </c>
      <c r="E11" s="5"/>
      <c r="F11" s="5"/>
    </row>
    <row r="13" spans="1:6" ht="15.75" customHeight="1" x14ac:dyDescent="0.3">
      <c r="A13" s="8" t="s">
        <v>155</v>
      </c>
      <c r="B13" s="8"/>
      <c r="C13" s="8"/>
      <c r="D13" s="8"/>
      <c r="E13" s="8"/>
      <c r="F13" s="8"/>
    </row>
    <row r="14" spans="1:6" ht="15" customHeight="1" x14ac:dyDescent="0.3">
      <c r="A14" s="35" t="s">
        <v>156</v>
      </c>
      <c r="B14" s="36">
        <v>200</v>
      </c>
      <c r="C14" s="34" t="s">
        <v>17</v>
      </c>
      <c r="D14" s="5" t="s">
        <v>157</v>
      </c>
      <c r="E14" s="5"/>
      <c r="F14" s="5"/>
    </row>
    <row r="15" spans="1:6" ht="15" customHeight="1" x14ac:dyDescent="0.3">
      <c r="A15" s="35" t="s">
        <v>158</v>
      </c>
      <c r="B15" s="36">
        <v>200</v>
      </c>
      <c r="C15" s="34" t="s">
        <v>136</v>
      </c>
      <c r="D15" s="5" t="s">
        <v>159</v>
      </c>
      <c r="E15" s="5"/>
      <c r="F15" s="5"/>
    </row>
    <row r="16" spans="1:6" ht="15" customHeight="1" x14ac:dyDescent="0.3">
      <c r="A16" s="35" t="s">
        <v>160</v>
      </c>
      <c r="B16" s="36">
        <v>0.65</v>
      </c>
      <c r="C16" s="34" t="s">
        <v>139</v>
      </c>
      <c r="D16" s="5" t="s">
        <v>161</v>
      </c>
      <c r="E16" s="5"/>
      <c r="F16" s="5"/>
    </row>
    <row r="17" spans="1:6" ht="15" customHeight="1" x14ac:dyDescent="0.3">
      <c r="A17" s="35" t="s">
        <v>162</v>
      </c>
      <c r="B17" s="36">
        <v>70</v>
      </c>
      <c r="C17" s="34" t="s">
        <v>136</v>
      </c>
      <c r="D17" s="5" t="s">
        <v>163</v>
      </c>
      <c r="E17" s="5"/>
      <c r="F17" s="5"/>
    </row>
    <row r="18" spans="1:6" ht="15" customHeight="1" x14ac:dyDescent="0.3">
      <c r="A18" s="35" t="s">
        <v>164</v>
      </c>
      <c r="B18" s="36">
        <v>5</v>
      </c>
      <c r="C18" s="34" t="s">
        <v>147</v>
      </c>
      <c r="D18" s="5" t="s">
        <v>165</v>
      </c>
      <c r="E18" s="5"/>
      <c r="F18" s="5"/>
    </row>
    <row r="20" spans="1:6" ht="15.75" customHeight="1" x14ac:dyDescent="0.3">
      <c r="A20" s="8" t="s">
        <v>166</v>
      </c>
      <c r="B20" s="8"/>
      <c r="C20" s="8"/>
      <c r="D20" s="8"/>
      <c r="E20" s="8"/>
      <c r="F20" s="8"/>
    </row>
    <row r="21" spans="1:6" ht="15" customHeight="1" x14ac:dyDescent="0.3">
      <c r="A21" s="37" t="s">
        <v>167</v>
      </c>
      <c r="B21" s="36">
        <v>45</v>
      </c>
      <c r="C21" s="34" t="s">
        <v>168</v>
      </c>
      <c r="D21" s="5" t="s">
        <v>169</v>
      </c>
      <c r="E21" s="5"/>
      <c r="F21" s="5"/>
    </row>
    <row r="22" spans="1:6" ht="15" customHeight="1" x14ac:dyDescent="0.3">
      <c r="A22" s="37" t="s">
        <v>170</v>
      </c>
      <c r="B22" s="36">
        <v>2</v>
      </c>
      <c r="C22" s="34" t="s">
        <v>11</v>
      </c>
      <c r="D22" s="5" t="s">
        <v>171</v>
      </c>
      <c r="E22" s="5"/>
      <c r="F22" s="5"/>
    </row>
    <row r="23" spans="1:6" ht="15" customHeight="1" x14ac:dyDescent="0.3">
      <c r="A23" s="37" t="s">
        <v>172</v>
      </c>
      <c r="B23" s="36">
        <v>8</v>
      </c>
      <c r="C23" s="34" t="s">
        <v>173</v>
      </c>
      <c r="D23" s="5" t="s">
        <v>174</v>
      </c>
      <c r="E23" s="5"/>
      <c r="F23" s="5"/>
    </row>
    <row r="24" spans="1:6" ht="15" customHeight="1" x14ac:dyDescent="0.3">
      <c r="A24" s="37" t="s">
        <v>175</v>
      </c>
      <c r="B24" s="36">
        <v>180</v>
      </c>
      <c r="C24" s="34" t="s">
        <v>176</v>
      </c>
      <c r="D24" s="5" t="s">
        <v>177</v>
      </c>
      <c r="E24" s="5"/>
      <c r="F24" s="5"/>
    </row>
    <row r="25" spans="1:6" ht="15" customHeight="1" x14ac:dyDescent="0.3">
      <c r="A25" s="37" t="s">
        <v>178</v>
      </c>
      <c r="B25" s="36">
        <v>129.5</v>
      </c>
      <c r="C25" s="34" t="s">
        <v>147</v>
      </c>
      <c r="D25" s="5" t="s">
        <v>179</v>
      </c>
      <c r="E25" s="5"/>
      <c r="F25" s="5"/>
    </row>
    <row r="26" spans="1:6" ht="15" customHeight="1" x14ac:dyDescent="0.3">
      <c r="A26" s="37" t="s">
        <v>180</v>
      </c>
      <c r="B26" s="36">
        <v>15</v>
      </c>
      <c r="C26" s="34" t="s">
        <v>173</v>
      </c>
      <c r="D26" s="5" t="s">
        <v>181</v>
      </c>
      <c r="E26" s="5"/>
      <c r="F26" s="5"/>
    </row>
    <row r="27" spans="1:6" ht="15" customHeight="1" x14ac:dyDescent="0.3">
      <c r="A27" s="37" t="s">
        <v>182</v>
      </c>
      <c r="B27" s="36">
        <v>0.06</v>
      </c>
      <c r="C27" s="34" t="s">
        <v>139</v>
      </c>
      <c r="D27" s="5" t="s">
        <v>183</v>
      </c>
      <c r="E27" s="5"/>
      <c r="F27" s="5"/>
    </row>
  </sheetData>
  <mergeCells count="25">
    <mergeCell ref="D23:F23"/>
    <mergeCell ref="D24:F24"/>
    <mergeCell ref="D25:F25"/>
    <mergeCell ref="D26:F26"/>
    <mergeCell ref="D27:F27"/>
    <mergeCell ref="D17:F17"/>
    <mergeCell ref="D18:F18"/>
    <mergeCell ref="A20:F20"/>
    <mergeCell ref="D21:F21"/>
    <mergeCell ref="D22:F22"/>
    <mergeCell ref="D11:F11"/>
    <mergeCell ref="A13:F13"/>
    <mergeCell ref="D14:F14"/>
    <mergeCell ref="D15:F15"/>
    <mergeCell ref="D16:F16"/>
    <mergeCell ref="D6:F6"/>
    <mergeCell ref="D7:F7"/>
    <mergeCell ref="D8:F8"/>
    <mergeCell ref="D9:F9"/>
    <mergeCell ref="D10:F10"/>
    <mergeCell ref="A1:F1"/>
    <mergeCell ref="A2:F2"/>
    <mergeCell ref="A3:F3"/>
    <mergeCell ref="D4:F4"/>
    <mergeCell ref="D5:F5"/>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4"/>
  <sheetViews>
    <sheetView showGridLines="0" zoomScaleNormal="100" workbookViewId="0">
      <selection sqref="A1:G1"/>
    </sheetView>
  </sheetViews>
  <sheetFormatPr defaultColWidth="8.6640625" defaultRowHeight="14.4" x14ac:dyDescent="0.3"/>
  <cols>
    <col min="1" max="1" width="30" customWidth="1"/>
    <col min="2" max="2" width="90" customWidth="1"/>
  </cols>
  <sheetData>
    <row r="1" spans="1:7" ht="25.5" customHeight="1" x14ac:dyDescent="0.3">
      <c r="A1" s="4" t="s">
        <v>184</v>
      </c>
      <c r="B1" s="4"/>
      <c r="C1" s="4"/>
      <c r="D1" s="4"/>
      <c r="E1" s="4"/>
      <c r="F1" s="4"/>
      <c r="G1" s="4"/>
    </row>
    <row r="2" spans="1:7" ht="13.5" customHeight="1" x14ac:dyDescent="0.3">
      <c r="A2" s="3"/>
      <c r="B2" s="3"/>
      <c r="C2" s="3"/>
      <c r="D2" s="3"/>
      <c r="E2" s="3"/>
      <c r="F2" s="3"/>
      <c r="G2" s="3"/>
    </row>
    <row r="3" spans="1:7" ht="13.5" customHeight="1" x14ac:dyDescent="0.3">
      <c r="A3" s="8" t="s">
        <v>185</v>
      </c>
      <c r="B3" s="8"/>
      <c r="C3" s="8"/>
      <c r="D3" s="8"/>
      <c r="E3" s="8"/>
      <c r="F3" s="8"/>
      <c r="G3" s="8"/>
    </row>
    <row r="4" spans="1:7" ht="27.75" customHeight="1" x14ac:dyDescent="0.3">
      <c r="A4" s="2" t="s">
        <v>186</v>
      </c>
      <c r="B4" s="2"/>
      <c r="C4" s="2"/>
      <c r="D4" s="2"/>
      <c r="E4" s="2"/>
      <c r="F4" s="2"/>
      <c r="G4" s="2"/>
    </row>
    <row r="5" spans="1:7" ht="13.5" customHeight="1" x14ac:dyDescent="0.3">
      <c r="A5" s="3"/>
      <c r="B5" s="3"/>
      <c r="C5" s="3"/>
      <c r="D5" s="3"/>
      <c r="E5" s="3"/>
      <c r="F5" s="3"/>
      <c r="G5" s="3"/>
    </row>
    <row r="6" spans="1:7" ht="13.5" customHeight="1" x14ac:dyDescent="0.3">
      <c r="A6" s="8" t="s">
        <v>187</v>
      </c>
      <c r="B6" s="8"/>
      <c r="C6" s="8"/>
      <c r="D6" s="8"/>
      <c r="E6" s="8"/>
      <c r="F6" s="8"/>
      <c r="G6" s="8"/>
    </row>
    <row r="7" spans="1:7" ht="13.5" customHeight="1" x14ac:dyDescent="0.3">
      <c r="A7" s="32" t="s">
        <v>188</v>
      </c>
      <c r="B7" s="1" t="s">
        <v>189</v>
      </c>
      <c r="C7" s="1"/>
      <c r="D7" s="1"/>
      <c r="E7" s="1"/>
      <c r="F7" s="1"/>
      <c r="G7" s="1"/>
    </row>
    <row r="8" spans="1:7" ht="13.5" customHeight="1" x14ac:dyDescent="0.3">
      <c r="A8" s="32" t="s">
        <v>190</v>
      </c>
      <c r="B8" s="1" t="s">
        <v>191</v>
      </c>
      <c r="C8" s="1"/>
      <c r="D8" s="1"/>
      <c r="E8" s="1"/>
      <c r="F8" s="1"/>
      <c r="G8" s="1"/>
    </row>
    <row r="9" spans="1:7" ht="13.5" customHeight="1" x14ac:dyDescent="0.3">
      <c r="A9" s="32" t="s">
        <v>192</v>
      </c>
      <c r="B9" s="1" t="s">
        <v>193</v>
      </c>
      <c r="C9" s="1"/>
      <c r="D9" s="1"/>
      <c r="E9" s="1"/>
      <c r="F9" s="1"/>
      <c r="G9" s="1"/>
    </row>
    <row r="10" spans="1:7" ht="13.5" customHeight="1" x14ac:dyDescent="0.3">
      <c r="A10" s="32" t="s">
        <v>194</v>
      </c>
      <c r="B10" s="1" t="s">
        <v>195</v>
      </c>
      <c r="C10" s="1"/>
      <c r="D10" s="1"/>
      <c r="E10" s="1"/>
      <c r="F10" s="1"/>
      <c r="G10" s="1"/>
    </row>
    <row r="11" spans="1:7" ht="13.5" customHeight="1" x14ac:dyDescent="0.3">
      <c r="A11" s="3"/>
      <c r="B11" s="3"/>
      <c r="C11" s="3"/>
      <c r="D11" s="3"/>
      <c r="E11" s="3"/>
      <c r="F11" s="3"/>
      <c r="G11" s="3"/>
    </row>
    <row r="12" spans="1:7" ht="13.5" customHeight="1" x14ac:dyDescent="0.3">
      <c r="A12" s="8" t="s">
        <v>196</v>
      </c>
      <c r="B12" s="8"/>
      <c r="C12" s="8"/>
      <c r="D12" s="8"/>
      <c r="E12" s="8"/>
      <c r="F12" s="8"/>
      <c r="G12" s="8"/>
    </row>
    <row r="13" spans="1:7" ht="13.5" customHeight="1" x14ac:dyDescent="0.3">
      <c r="A13" s="32" t="s">
        <v>197</v>
      </c>
      <c r="B13" s="1" t="s">
        <v>198</v>
      </c>
      <c r="C13" s="1"/>
      <c r="D13" s="1"/>
      <c r="E13" s="1"/>
      <c r="F13" s="1"/>
      <c r="G13" s="1"/>
    </row>
    <row r="14" spans="1:7" ht="13.5" customHeight="1" x14ac:dyDescent="0.3">
      <c r="A14" s="32" t="s">
        <v>199</v>
      </c>
      <c r="B14" s="1" t="s">
        <v>200</v>
      </c>
      <c r="C14" s="1"/>
      <c r="D14" s="1"/>
      <c r="E14" s="1"/>
      <c r="F14" s="1"/>
      <c r="G14" s="1"/>
    </row>
    <row r="15" spans="1:7" ht="13.5" customHeight="1" x14ac:dyDescent="0.3">
      <c r="A15" s="32" t="s">
        <v>201</v>
      </c>
      <c r="B15" s="1" t="s">
        <v>202</v>
      </c>
      <c r="C15" s="1"/>
      <c r="D15" s="1"/>
      <c r="E15" s="1"/>
      <c r="F15" s="1"/>
      <c r="G15" s="1"/>
    </row>
    <row r="16" spans="1:7" ht="13.5" customHeight="1" x14ac:dyDescent="0.3">
      <c r="A16" s="32" t="s">
        <v>203</v>
      </c>
      <c r="B16" s="1" t="s">
        <v>204</v>
      </c>
      <c r="C16" s="1"/>
      <c r="D16" s="1"/>
      <c r="E16" s="1"/>
      <c r="F16" s="1"/>
      <c r="G16" s="1"/>
    </row>
    <row r="17" spans="1:7" ht="13.5" customHeight="1" x14ac:dyDescent="0.3">
      <c r="A17" s="32" t="s">
        <v>205</v>
      </c>
      <c r="B17" s="1" t="s">
        <v>206</v>
      </c>
      <c r="C17" s="1"/>
      <c r="D17" s="1"/>
      <c r="E17" s="1"/>
      <c r="F17" s="1"/>
      <c r="G17" s="1"/>
    </row>
    <row r="18" spans="1:7" ht="13.5" customHeight="1" x14ac:dyDescent="0.3">
      <c r="A18" s="3"/>
      <c r="B18" s="3"/>
      <c r="C18" s="3"/>
      <c r="D18" s="3"/>
      <c r="E18" s="3"/>
      <c r="F18" s="3"/>
      <c r="G18" s="3"/>
    </row>
    <row r="19" spans="1:7" ht="13.5" customHeight="1" x14ac:dyDescent="0.3">
      <c r="A19" s="8" t="s">
        <v>207</v>
      </c>
      <c r="B19" s="8"/>
      <c r="C19" s="8"/>
      <c r="D19" s="8"/>
      <c r="E19" s="8"/>
      <c r="F19" s="8"/>
      <c r="G19" s="8"/>
    </row>
    <row r="20" spans="1:7" ht="13.5" customHeight="1" x14ac:dyDescent="0.3">
      <c r="A20" s="32" t="s">
        <v>208</v>
      </c>
      <c r="B20" s="1" t="s">
        <v>209</v>
      </c>
      <c r="C20" s="1"/>
      <c r="D20" s="1"/>
      <c r="E20" s="1"/>
      <c r="F20" s="1"/>
      <c r="G20" s="1"/>
    </row>
    <row r="21" spans="1:7" ht="13.5" customHeight="1" x14ac:dyDescent="0.3">
      <c r="A21" s="32" t="s">
        <v>210</v>
      </c>
      <c r="B21" s="1" t="s">
        <v>211</v>
      </c>
      <c r="C21" s="1"/>
      <c r="D21" s="1"/>
      <c r="E21" s="1"/>
      <c r="F21" s="1"/>
      <c r="G21" s="1"/>
    </row>
    <row r="22" spans="1:7" ht="13.5" customHeight="1" x14ac:dyDescent="0.3">
      <c r="A22" s="32" t="s">
        <v>212</v>
      </c>
      <c r="B22" s="1" t="s">
        <v>213</v>
      </c>
      <c r="C22" s="1"/>
      <c r="D22" s="1"/>
      <c r="E22" s="1"/>
      <c r="F22" s="1"/>
      <c r="G22" s="1"/>
    </row>
    <row r="23" spans="1:7" ht="13.5" customHeight="1" x14ac:dyDescent="0.3">
      <c r="A23" s="32" t="s">
        <v>214</v>
      </c>
      <c r="B23" s="1" t="s">
        <v>215</v>
      </c>
      <c r="C23" s="1"/>
      <c r="D23" s="1"/>
      <c r="E23" s="1"/>
      <c r="F23" s="1"/>
      <c r="G23" s="1"/>
    </row>
    <row r="24" spans="1:7" ht="13.5" customHeight="1" x14ac:dyDescent="0.3">
      <c r="A24" s="32" t="s">
        <v>216</v>
      </c>
      <c r="B24" s="1" t="s">
        <v>217</v>
      </c>
      <c r="C24" s="1"/>
      <c r="D24" s="1"/>
      <c r="E24" s="1"/>
      <c r="F24" s="1"/>
      <c r="G24" s="1"/>
    </row>
    <row r="25" spans="1:7" ht="13.5" customHeight="1" x14ac:dyDescent="0.3">
      <c r="A25" s="32" t="s">
        <v>218</v>
      </c>
      <c r="B25" s="1" t="s">
        <v>219</v>
      </c>
      <c r="C25" s="1"/>
      <c r="D25" s="1"/>
      <c r="E25" s="1"/>
      <c r="F25" s="1"/>
      <c r="G25" s="1"/>
    </row>
    <row r="26" spans="1:7" ht="13.5" customHeight="1" x14ac:dyDescent="0.3">
      <c r="A26" s="3"/>
      <c r="B26" s="3"/>
      <c r="C26" s="3"/>
      <c r="D26" s="3"/>
      <c r="E26" s="3"/>
      <c r="F26" s="3"/>
      <c r="G26" s="3"/>
    </row>
    <row r="27" spans="1:7" ht="13.5" customHeight="1" x14ac:dyDescent="0.3">
      <c r="A27" s="8" t="s">
        <v>220</v>
      </c>
      <c r="B27" s="8"/>
      <c r="C27" s="8"/>
      <c r="D27" s="8"/>
      <c r="E27" s="8"/>
      <c r="F27" s="8"/>
      <c r="G27" s="8"/>
    </row>
    <row r="28" spans="1:7" ht="13.5" customHeight="1" x14ac:dyDescent="0.3">
      <c r="A28" s="32" t="s">
        <v>221</v>
      </c>
      <c r="B28" s="1" t="s">
        <v>222</v>
      </c>
      <c r="C28" s="1"/>
      <c r="D28" s="1"/>
      <c r="E28" s="1"/>
      <c r="F28" s="1"/>
      <c r="G28" s="1"/>
    </row>
    <row r="29" spans="1:7" ht="13.5" customHeight="1" x14ac:dyDescent="0.3">
      <c r="A29" s="32" t="s">
        <v>223</v>
      </c>
      <c r="B29" s="1" t="s">
        <v>224</v>
      </c>
      <c r="C29" s="1"/>
      <c r="D29" s="1"/>
      <c r="E29" s="1"/>
      <c r="F29" s="1"/>
      <c r="G29" s="1"/>
    </row>
    <row r="30" spans="1:7" ht="13.5" customHeight="1" x14ac:dyDescent="0.3">
      <c r="A30" s="32" t="s">
        <v>225</v>
      </c>
      <c r="B30" s="1" t="s">
        <v>226</v>
      </c>
      <c r="C30" s="1"/>
      <c r="D30" s="1"/>
      <c r="E30" s="1"/>
      <c r="F30" s="1"/>
      <c r="G30" s="1"/>
    </row>
    <row r="31" spans="1:7" ht="13.5" customHeight="1" x14ac:dyDescent="0.3">
      <c r="A31" s="32" t="s">
        <v>227</v>
      </c>
      <c r="B31" s="1" t="s">
        <v>228</v>
      </c>
      <c r="C31" s="1"/>
      <c r="D31" s="1"/>
      <c r="E31" s="1"/>
      <c r="F31" s="1"/>
      <c r="G31" s="1"/>
    </row>
    <row r="32" spans="1:7" ht="13.5" customHeight="1" x14ac:dyDescent="0.3">
      <c r="A32" s="3"/>
      <c r="B32" s="3"/>
      <c r="C32" s="3"/>
      <c r="D32" s="3"/>
      <c r="E32" s="3"/>
      <c r="F32" s="3"/>
      <c r="G32" s="3"/>
    </row>
    <row r="33" spans="1:7" ht="13.5" customHeight="1" x14ac:dyDescent="0.3">
      <c r="A33" s="8" t="s">
        <v>229</v>
      </c>
      <c r="B33" s="8"/>
      <c r="C33" s="8"/>
      <c r="D33" s="8"/>
      <c r="E33" s="8"/>
      <c r="F33" s="8"/>
      <c r="G33" s="8"/>
    </row>
    <row r="34" spans="1:7" ht="27.75" customHeight="1" x14ac:dyDescent="0.3">
      <c r="A34" s="2" t="s">
        <v>230</v>
      </c>
      <c r="B34" s="2"/>
      <c r="C34" s="2"/>
      <c r="D34" s="2"/>
      <c r="E34" s="2"/>
      <c r="F34" s="2"/>
      <c r="G34" s="2"/>
    </row>
  </sheetData>
  <mergeCells count="34">
    <mergeCell ref="B31:G31"/>
    <mergeCell ref="A32:G32"/>
    <mergeCell ref="A33:G33"/>
    <mergeCell ref="A34:G34"/>
    <mergeCell ref="A26:G26"/>
    <mergeCell ref="A27:G27"/>
    <mergeCell ref="B28:G28"/>
    <mergeCell ref="B29:G29"/>
    <mergeCell ref="B30:G30"/>
    <mergeCell ref="B21:G21"/>
    <mergeCell ref="B22:G22"/>
    <mergeCell ref="B23:G23"/>
    <mergeCell ref="B24:G24"/>
    <mergeCell ref="B25:G25"/>
    <mergeCell ref="B16:G16"/>
    <mergeCell ref="B17:G17"/>
    <mergeCell ref="A18:G18"/>
    <mergeCell ref="A19:G19"/>
    <mergeCell ref="B20:G20"/>
    <mergeCell ref="A11:G11"/>
    <mergeCell ref="A12:G12"/>
    <mergeCell ref="B13:G13"/>
    <mergeCell ref="B14:G14"/>
    <mergeCell ref="B15:G15"/>
    <mergeCell ref="A6:G6"/>
    <mergeCell ref="B7:G7"/>
    <mergeCell ref="B8:G8"/>
    <mergeCell ref="B9:G9"/>
    <mergeCell ref="B10:G10"/>
    <mergeCell ref="A1:G1"/>
    <mergeCell ref="A2:G2"/>
    <mergeCell ref="A3:G3"/>
    <mergeCell ref="A4:G4"/>
    <mergeCell ref="A5:G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Project Overview</vt:lpstr>
      <vt:lpstr>Hourly Data</vt:lpstr>
      <vt:lpstr>Monthly Billing</vt:lpstr>
      <vt:lpstr>Tool Inputs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Morris Murigi</cp:lastModifiedBy>
  <cp:revision>0</cp:revision>
  <dcterms:created xsi:type="dcterms:W3CDTF">2026-04-09T13:03:17Z</dcterms:created>
  <dcterms:modified xsi:type="dcterms:W3CDTF">2026-04-09T14:02:15Z</dcterms:modified>
  <dc:language>en-US</dc:language>
</cp:coreProperties>
</file>